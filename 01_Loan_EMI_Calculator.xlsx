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I Calculator" sheetId="1" state="visible" r:id="rId1"/>
    <sheet xmlns:r="http://schemas.openxmlformats.org/officeDocument/2006/relationships" name="Amortization 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M-YYYY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8FA3BC"/>
      <sz val="9"/>
    </font>
    <font>
      <name val="Arial"/>
      <b val="1"/>
      <color rgb="00FFFFFF"/>
      <sz val="10"/>
    </font>
    <font>
      <name val="Arial"/>
      <b val="1"/>
      <color rgb="00374151"/>
      <sz val="10"/>
    </font>
    <font>
      <name val="Arial"/>
      <color rgb="000000FF"/>
      <sz val="10"/>
    </font>
    <font>
      <name val="Arial"/>
      <color rgb="008FA3BC"/>
      <sz val="8"/>
    </font>
    <font>
      <name val="Arial"/>
      <b val="1"/>
      <color rgb="00000000"/>
      <sz val="10"/>
    </font>
    <font>
      <name val="Arial"/>
      <i val="1"/>
      <color rgb="008FA3BC"/>
      <sz val="8"/>
    </font>
    <font>
      <name val="Arial"/>
      <b val="1"/>
      <color rgb="00FFFFFF"/>
      <sz val="16"/>
    </font>
    <font>
      <name val="Arial"/>
      <b val="1"/>
      <color rgb="00FFFFFF"/>
      <sz val="9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0B1628"/>
      </patternFill>
    </fill>
    <fill>
      <patternFill patternType="solid">
        <fgColor rgb="00F0F3F7"/>
      </patternFill>
    </fill>
    <fill>
      <patternFill patternType="solid">
        <fgColor rgb="00F4F6F9"/>
      </patternFill>
    </fill>
    <fill>
      <patternFill patternType="solid">
        <fgColor rgb="00F5E6C0"/>
      </patternFill>
    </fill>
    <fill>
      <patternFill patternType="solid">
        <fgColor rgb="002A7F6F"/>
      </patternFill>
    </fill>
    <fill>
      <patternFill patternType="solid">
        <fgColor rgb="00D0EDE9"/>
      </patternFill>
    </fill>
    <fill>
      <patternFill patternType="solid">
        <fgColor rgb="00F9F9F9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3" borderId="0" applyAlignment="1" pivotButton="0" quotePrefix="0" xfId="0">
      <alignment horizontal="left" vertical="center" indent="2"/>
    </xf>
    <xf numFmtId="0" fontId="3" fillId="2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0" fillId="0" borderId="4" pivotButton="0" quotePrefix="0" xfId="0"/>
    <xf numFmtId="10" fontId="5" fillId="5" borderId="1" applyAlignment="1" pivotButton="0" quotePrefix="0" xfId="0">
      <alignment horizontal="right" vertical="center"/>
    </xf>
    <xf numFmtId="1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3" fillId="6" borderId="0" applyAlignment="1" pivotButton="0" quotePrefix="0" xfId="0">
      <alignment horizontal="left" vertical="center" indent="1"/>
    </xf>
    <xf numFmtId="4" fontId="7" fillId="7" borderId="1" applyAlignment="1" pivotButton="0" quotePrefix="0" xfId="0">
      <alignment horizontal="right" vertical="center"/>
    </xf>
    <xf numFmtId="0" fontId="0" fillId="0" borderId="5" pivotButton="0" quotePrefix="0" xfId="0"/>
    <xf numFmtId="10" fontId="7" fillId="7" borderId="1" applyAlignment="1" pivotButton="0" quotePrefix="0" xfId="0">
      <alignment horizontal="right" vertical="center"/>
    </xf>
    <xf numFmtId="0" fontId="8" fillId="8" borderId="0" applyAlignment="1" pivotButton="0" quotePrefix="0" xfId="0">
      <alignment horizontal="center"/>
    </xf>
    <xf numFmtId="0" fontId="9" fillId="2" borderId="0" applyAlignment="1" pivotButton="0" quotePrefix="0" xfId="0">
      <alignment horizontal="left" vertical="center" indent="2"/>
    </xf>
    <xf numFmtId="0" fontId="10" fillId="6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/>
    </xf>
    <xf numFmtId="164" fontId="11" fillId="4" borderId="1" applyAlignment="1" pivotButton="0" quotePrefix="0" xfId="0">
      <alignment horizontal="right" vertical="center"/>
    </xf>
    <xf numFmtId="4" fontId="11" fillId="4" borderId="1" applyAlignment="1" pivotButton="0" quotePrefix="0" xfId="0">
      <alignment horizontal="right" vertical="center"/>
    </xf>
    <xf numFmtId="0" fontId="11" fillId="9" borderId="1" applyAlignment="1" pivotButton="0" quotePrefix="0" xfId="0">
      <alignment horizontal="center" vertical="center"/>
    </xf>
    <xf numFmtId="164" fontId="11" fillId="9" borderId="1" applyAlignment="1" pivotButton="0" quotePrefix="0" xfId="0">
      <alignment horizontal="right" vertical="center"/>
    </xf>
    <xf numFmtId="4" fontId="11" fillId="9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4" fontId="10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36" customWidth="1" min="3" max="3"/>
    <col width="10" customWidth="1" min="4" max="4"/>
    <col width="2" customWidth="1" min="5" max="5"/>
    <col width="2" customWidth="1" min="6" max="6"/>
    <col width="2" customWidth="1" min="7" max="7"/>
    <col width="2" customWidth="1" min="8" max="8"/>
  </cols>
  <sheetData>
    <row r="1" ht="40" customHeight="1">
      <c r="A1" s="1" t="inlineStr">
        <is>
          <t>Loan EMI Calculator</t>
        </is>
      </c>
    </row>
    <row r="2" ht="14" customHeight="1">
      <c r="A2" s="2" t="inlineStr">
        <is>
          <t>Enter loan details in blue cells. All calculations update automatically.</t>
        </is>
      </c>
    </row>
    <row r="4" ht="20" customHeight="1">
      <c r="A4" s="3" t="inlineStr">
        <is>
          <t xml:space="preserve">  LOAN INPUTS</t>
        </is>
      </c>
    </row>
    <row r="5">
      <c r="A5" s="4" t="inlineStr">
        <is>
          <t>Loan Amount</t>
        </is>
      </c>
      <c r="B5" s="5" t="n">
        <v>500000</v>
      </c>
      <c r="C5" s="6" t="inlineStr">
        <is>
          <t>Principal amount of the loan</t>
        </is>
      </c>
      <c r="D5" s="7" t="n"/>
    </row>
    <row r="6">
      <c r="A6" s="4" t="inlineStr">
        <is>
          <t>Annual Interest Rate (%)</t>
        </is>
      </c>
      <c r="B6" s="8" t="n">
        <v>0.105</v>
      </c>
      <c r="C6" s="6" t="inlineStr">
        <is>
          <t>Enter as decimal e.g. 10.5% → 0.105 OR just 10.5</t>
        </is>
      </c>
      <c r="D6" s="7" t="n"/>
    </row>
    <row r="7">
      <c r="A7" s="4" t="inlineStr">
        <is>
          <t>Loan Tenure (Months)</t>
        </is>
      </c>
      <c r="B7" s="9" t="n">
        <v>60</v>
      </c>
      <c r="C7" s="6" t="inlineStr">
        <is>
          <t>Number of monthly instalments</t>
        </is>
      </c>
      <c r="D7" s="7" t="n"/>
    </row>
    <row r="8">
      <c r="A8" s="4" t="inlineStr">
        <is>
          <t>Start Date</t>
        </is>
      </c>
      <c r="B8" s="10" t="inlineStr">
        <is>
          <t>2025-01-01</t>
        </is>
      </c>
      <c r="C8" s="6" t="inlineStr">
        <is>
          <t>Loan disbursement date</t>
        </is>
      </c>
      <c r="D8" s="7" t="n"/>
    </row>
    <row r="10" ht="20" customHeight="1">
      <c r="A10" s="11" t="inlineStr">
        <is>
          <t xml:space="preserve">  CALCULATED RESULTS</t>
        </is>
      </c>
    </row>
    <row r="11">
      <c r="A11" s="4" t="inlineStr">
        <is>
          <t>Monthly EMI (₹)</t>
        </is>
      </c>
      <c r="B11" s="12">
        <f>IFERROR(PMT(B6/12,B7,-B5),0)</f>
        <v/>
      </c>
      <c r="C11" s="13" t="n"/>
      <c r="D11" s="7" t="n"/>
    </row>
    <row r="12">
      <c r="A12" s="4" t="inlineStr">
        <is>
          <t>Total Amount Payable (₹)</t>
        </is>
      </c>
      <c r="B12" s="12">
        <f>IFERROR(B11*B7,0)</f>
        <v/>
      </c>
      <c r="C12" s="13" t="n"/>
      <c r="D12" s="7" t="n"/>
    </row>
    <row r="13">
      <c r="A13" s="4" t="inlineStr">
        <is>
          <t>Total Interest Payable (₹)</t>
        </is>
      </c>
      <c r="B13" s="12">
        <f>IFERROR(B12-B5,0)</f>
        <v/>
      </c>
      <c r="C13" s="13" t="n"/>
      <c r="D13" s="7" t="n"/>
    </row>
    <row r="14">
      <c r="A14" s="4" t="inlineStr">
        <is>
          <t>Interest as % of Principal</t>
        </is>
      </c>
      <c r="B14" s="14">
        <f>IFERROR(B13/B5,0)</f>
        <v/>
      </c>
      <c r="C14" s="13" t="n"/>
      <c r="D14" s="7" t="n"/>
    </row>
    <row r="16">
      <c r="A16" s="15" t="inlineStr">
        <is>
          <t>Navneet Priye Chauhan — Finance &amp; Operations Consultant | Free Template: Loan EMI Calculator</t>
        </is>
      </c>
    </row>
  </sheetData>
  <mergeCells count="13">
    <mergeCell ref="B11:D11"/>
    <mergeCell ref="C6:D6"/>
    <mergeCell ref="C7:D7"/>
    <mergeCell ref="B14:D14"/>
    <mergeCell ref="A4:D4"/>
    <mergeCell ref="A2:H2"/>
    <mergeCell ref="A16:H16"/>
    <mergeCell ref="C5:D5"/>
    <mergeCell ref="B13:D13"/>
    <mergeCell ref="A1:H1"/>
    <mergeCell ref="B12:D12"/>
    <mergeCell ref="A10:D10"/>
    <mergeCell ref="C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16" customWidth="1" min="4" max="4"/>
    <col width="16" customWidth="1" min="5" max="5"/>
    <col width="16" customWidth="1" min="6" max="6"/>
    <col width="20" customWidth="1" min="7" max="7"/>
    <col width="20" customWidth="1" min="8" max="8"/>
    <col width="20" customWidth="1" min="9" max="9"/>
  </cols>
  <sheetData>
    <row r="1" ht="36" customHeight="1">
      <c r="A1" s="16" t="inlineStr">
        <is>
          <t>Loan Amortization Schedule</t>
        </is>
      </c>
    </row>
    <row r="3" ht="28" customHeight="1">
      <c r="A3" s="17" t="inlineStr">
        <is>
          <t>#</t>
        </is>
      </c>
      <c r="B3" s="17" t="inlineStr">
        <is>
          <t>Payment Date</t>
        </is>
      </c>
      <c r="C3" s="17" t="inlineStr">
        <is>
          <t>Opening Balance (₹)</t>
        </is>
      </c>
      <c r="D3" s="17" t="inlineStr">
        <is>
          <t>EMI (₹)</t>
        </is>
      </c>
      <c r="E3" s="17" t="inlineStr">
        <is>
          <t>Principal (₹)</t>
        </is>
      </c>
      <c r="F3" s="17" t="inlineStr">
        <is>
          <t>Interest (₹)</t>
        </is>
      </c>
      <c r="G3" s="17" t="inlineStr">
        <is>
          <t>Closing Balance (₹)</t>
        </is>
      </c>
      <c r="H3" s="17" t="inlineStr">
        <is>
          <t>Cumul. Interest (₹)</t>
        </is>
      </c>
      <c r="I3" s="17" t="inlineStr">
        <is>
          <t>Cumul. Principal (₹)</t>
        </is>
      </c>
    </row>
    <row r="4">
      <c r="A4" s="18" t="n">
        <v>1</v>
      </c>
      <c r="B4" s="19">
        <f>'EMI Calculator'!B8</f>
        <v/>
      </c>
      <c r="C4" s="20">
        <f>'EMI Calculator'!B5</f>
        <v/>
      </c>
      <c r="D4" s="20">
        <f>'EMI Calculator'!B11</f>
        <v/>
      </c>
      <c r="E4" s="20">
        <f>IFERROR(D4-F4,0)</f>
        <v/>
      </c>
      <c r="F4" s="20">
        <f>IFERROR(C4*'EMI Calculator'!B6/12,0)</f>
        <v/>
      </c>
      <c r="G4" s="20">
        <f>IFERROR(C4-E4,0)</f>
        <v/>
      </c>
      <c r="H4" s="20">
        <f>F4</f>
        <v/>
      </c>
      <c r="I4" s="20">
        <f>E4</f>
        <v/>
      </c>
    </row>
    <row r="5">
      <c r="A5" s="18" t="n">
        <v>2</v>
      </c>
      <c r="B5" s="19">
        <f>IFERROR(DATE(YEAR(B4),MONTH(B4)+1,DAY(B4)),"")</f>
        <v/>
      </c>
      <c r="C5" s="20">
        <f>IFERROR(IF(A5&lt;='EMI Calculator'!B7,G4,""),"")</f>
        <v/>
      </c>
      <c r="D5" s="20">
        <f>IFERROR(IF(A5&lt;='EMI Calculator'!B7,'EMI Calculator'!B11,""),"")</f>
        <v/>
      </c>
      <c r="E5" s="20">
        <f>IFERROR(IF(A5&lt;='EMI Calculator'!B7,D5-F5,""),"")</f>
        <v/>
      </c>
      <c r="F5" s="20">
        <f>IFERROR(IF(A5&lt;='EMI Calculator'!B7,C5*'EMI Calculator'!B6/12,""),"")</f>
        <v/>
      </c>
      <c r="G5" s="20">
        <f>IFERROR(IF(A5&lt;='EMI Calculator'!B7,MAX(C5-E5,0),""),"")</f>
        <v/>
      </c>
      <c r="H5" s="20">
        <f>IFERROR(IF(A5&lt;='EMI Calculator'!B7,H4+F5,""),"")</f>
        <v/>
      </c>
      <c r="I5" s="20">
        <f>IFERROR(IF(A5&lt;='EMI Calculator'!B7,I4+E5,""),"")</f>
        <v/>
      </c>
    </row>
    <row r="6">
      <c r="A6" s="21" t="n">
        <v>3</v>
      </c>
      <c r="B6" s="22">
        <f>IFERROR(DATE(YEAR(B5),MONTH(B5)+1,DAY(B5)),"")</f>
        <v/>
      </c>
      <c r="C6" s="23">
        <f>IFERROR(IF(A6&lt;='EMI Calculator'!B7,G5,""),"")</f>
        <v/>
      </c>
      <c r="D6" s="23">
        <f>IFERROR(IF(A6&lt;='EMI Calculator'!B7,'EMI Calculator'!B11,""),"")</f>
        <v/>
      </c>
      <c r="E6" s="23">
        <f>IFERROR(IF(A6&lt;='EMI Calculator'!B7,D6-F6,""),"")</f>
        <v/>
      </c>
      <c r="F6" s="23">
        <f>IFERROR(IF(A6&lt;='EMI Calculator'!B7,C6*'EMI Calculator'!B6/12,""),"")</f>
        <v/>
      </c>
      <c r="G6" s="23">
        <f>IFERROR(IF(A6&lt;='EMI Calculator'!B7,MAX(C6-E6,0),""),"")</f>
        <v/>
      </c>
      <c r="H6" s="23">
        <f>IFERROR(IF(A6&lt;='EMI Calculator'!B7,H5+F6,""),"")</f>
        <v/>
      </c>
      <c r="I6" s="23">
        <f>IFERROR(IF(A6&lt;='EMI Calculator'!B7,I5+E6,""),"")</f>
        <v/>
      </c>
    </row>
    <row r="7">
      <c r="A7" s="18" t="n">
        <v>4</v>
      </c>
      <c r="B7" s="19">
        <f>IFERROR(DATE(YEAR(B6),MONTH(B6)+1,DAY(B6)),"")</f>
        <v/>
      </c>
      <c r="C7" s="20">
        <f>IFERROR(IF(A7&lt;='EMI Calculator'!B7,G6,""),"")</f>
        <v/>
      </c>
      <c r="D7" s="20">
        <f>IFERROR(IF(A7&lt;='EMI Calculator'!B7,'EMI Calculator'!B11,""),"")</f>
        <v/>
      </c>
      <c r="E7" s="20">
        <f>IFERROR(IF(A7&lt;='EMI Calculator'!B7,D7-F7,""),"")</f>
        <v/>
      </c>
      <c r="F7" s="20">
        <f>IFERROR(IF(A7&lt;='EMI Calculator'!B7,C7*'EMI Calculator'!B6/12,""),"")</f>
        <v/>
      </c>
      <c r="G7" s="20">
        <f>IFERROR(IF(A7&lt;='EMI Calculator'!B7,MAX(C7-E7,0),""),"")</f>
        <v/>
      </c>
      <c r="H7" s="20">
        <f>IFERROR(IF(A7&lt;='EMI Calculator'!B7,H6+F7,""),"")</f>
        <v/>
      </c>
      <c r="I7" s="20">
        <f>IFERROR(IF(A7&lt;='EMI Calculator'!B7,I6+E7,""),"")</f>
        <v/>
      </c>
    </row>
    <row r="8">
      <c r="A8" s="21" t="n">
        <v>5</v>
      </c>
      <c r="B8" s="22">
        <f>IFERROR(DATE(YEAR(B7),MONTH(B7)+1,DAY(B7)),"")</f>
        <v/>
      </c>
      <c r="C8" s="23">
        <f>IFERROR(IF(A8&lt;='EMI Calculator'!B7,G7,""),"")</f>
        <v/>
      </c>
      <c r="D8" s="23">
        <f>IFERROR(IF(A8&lt;='EMI Calculator'!B7,'EMI Calculator'!B11,""),"")</f>
        <v/>
      </c>
      <c r="E8" s="23">
        <f>IFERROR(IF(A8&lt;='EMI Calculator'!B7,D8-F8,""),"")</f>
        <v/>
      </c>
      <c r="F8" s="23">
        <f>IFERROR(IF(A8&lt;='EMI Calculator'!B7,C8*'EMI Calculator'!B6/12,""),"")</f>
        <v/>
      </c>
      <c r="G8" s="23">
        <f>IFERROR(IF(A8&lt;='EMI Calculator'!B7,MAX(C8-E8,0),""),"")</f>
        <v/>
      </c>
      <c r="H8" s="23">
        <f>IFERROR(IF(A8&lt;='EMI Calculator'!B7,H7+F8,""),"")</f>
        <v/>
      </c>
      <c r="I8" s="23">
        <f>IFERROR(IF(A8&lt;='EMI Calculator'!B7,I7+E8,""),"")</f>
        <v/>
      </c>
    </row>
    <row r="9">
      <c r="A9" s="18" t="n">
        <v>6</v>
      </c>
      <c r="B9" s="19">
        <f>IFERROR(DATE(YEAR(B8),MONTH(B8)+1,DAY(B8)),"")</f>
        <v/>
      </c>
      <c r="C9" s="20">
        <f>IFERROR(IF(A9&lt;='EMI Calculator'!B7,G8,""),"")</f>
        <v/>
      </c>
      <c r="D9" s="20">
        <f>IFERROR(IF(A9&lt;='EMI Calculator'!B7,'EMI Calculator'!B11,""),"")</f>
        <v/>
      </c>
      <c r="E9" s="20">
        <f>IFERROR(IF(A9&lt;='EMI Calculator'!B7,D9-F9,""),"")</f>
        <v/>
      </c>
      <c r="F9" s="20">
        <f>IFERROR(IF(A9&lt;='EMI Calculator'!B7,C9*'EMI Calculator'!B6/12,""),"")</f>
        <v/>
      </c>
      <c r="G9" s="20">
        <f>IFERROR(IF(A9&lt;='EMI Calculator'!B7,MAX(C9-E9,0),""),"")</f>
        <v/>
      </c>
      <c r="H9" s="20">
        <f>IFERROR(IF(A9&lt;='EMI Calculator'!B7,H8+F9,""),"")</f>
        <v/>
      </c>
      <c r="I9" s="20">
        <f>IFERROR(IF(A9&lt;='EMI Calculator'!B7,I8+E9,""),"")</f>
        <v/>
      </c>
    </row>
    <row r="10">
      <c r="A10" s="21" t="n">
        <v>7</v>
      </c>
      <c r="B10" s="22">
        <f>IFERROR(DATE(YEAR(B9),MONTH(B9)+1,DAY(B9)),"")</f>
        <v/>
      </c>
      <c r="C10" s="23">
        <f>IFERROR(IF(A10&lt;='EMI Calculator'!B7,G9,""),"")</f>
        <v/>
      </c>
      <c r="D10" s="23">
        <f>IFERROR(IF(A10&lt;='EMI Calculator'!B7,'EMI Calculator'!B11,""),"")</f>
        <v/>
      </c>
      <c r="E10" s="23">
        <f>IFERROR(IF(A10&lt;='EMI Calculator'!B7,D10-F10,""),"")</f>
        <v/>
      </c>
      <c r="F10" s="23">
        <f>IFERROR(IF(A10&lt;='EMI Calculator'!B7,C10*'EMI Calculator'!B6/12,""),"")</f>
        <v/>
      </c>
      <c r="G10" s="23">
        <f>IFERROR(IF(A10&lt;='EMI Calculator'!B7,MAX(C10-E10,0),""),"")</f>
        <v/>
      </c>
      <c r="H10" s="23">
        <f>IFERROR(IF(A10&lt;='EMI Calculator'!B7,H9+F10,""),"")</f>
        <v/>
      </c>
      <c r="I10" s="23">
        <f>IFERROR(IF(A10&lt;='EMI Calculator'!B7,I9+E10,""),"")</f>
        <v/>
      </c>
    </row>
    <row r="11">
      <c r="A11" s="18" t="n">
        <v>8</v>
      </c>
      <c r="B11" s="19">
        <f>IFERROR(DATE(YEAR(B10),MONTH(B10)+1,DAY(B10)),"")</f>
        <v/>
      </c>
      <c r="C11" s="20">
        <f>IFERROR(IF(A11&lt;='EMI Calculator'!B7,G10,""),"")</f>
        <v/>
      </c>
      <c r="D11" s="20">
        <f>IFERROR(IF(A11&lt;='EMI Calculator'!B7,'EMI Calculator'!B11,""),"")</f>
        <v/>
      </c>
      <c r="E11" s="20">
        <f>IFERROR(IF(A11&lt;='EMI Calculator'!B7,D11-F11,""),"")</f>
        <v/>
      </c>
      <c r="F11" s="20">
        <f>IFERROR(IF(A11&lt;='EMI Calculator'!B7,C11*'EMI Calculator'!B6/12,""),"")</f>
        <v/>
      </c>
      <c r="G11" s="20">
        <f>IFERROR(IF(A11&lt;='EMI Calculator'!B7,MAX(C11-E11,0),""),"")</f>
        <v/>
      </c>
      <c r="H11" s="20">
        <f>IFERROR(IF(A11&lt;='EMI Calculator'!B7,H10+F11,""),"")</f>
        <v/>
      </c>
      <c r="I11" s="20">
        <f>IFERROR(IF(A11&lt;='EMI Calculator'!B7,I10+E11,""),"")</f>
        <v/>
      </c>
    </row>
    <row r="12">
      <c r="A12" s="21" t="n">
        <v>9</v>
      </c>
      <c r="B12" s="22">
        <f>IFERROR(DATE(YEAR(B11),MONTH(B11)+1,DAY(B11)),"")</f>
        <v/>
      </c>
      <c r="C12" s="23">
        <f>IFERROR(IF(A12&lt;='EMI Calculator'!B7,G11,""),"")</f>
        <v/>
      </c>
      <c r="D12" s="23">
        <f>IFERROR(IF(A12&lt;='EMI Calculator'!B7,'EMI Calculator'!B11,""),"")</f>
        <v/>
      </c>
      <c r="E12" s="23">
        <f>IFERROR(IF(A12&lt;='EMI Calculator'!B7,D12-F12,""),"")</f>
        <v/>
      </c>
      <c r="F12" s="23">
        <f>IFERROR(IF(A12&lt;='EMI Calculator'!B7,C12*'EMI Calculator'!B6/12,""),"")</f>
        <v/>
      </c>
      <c r="G12" s="23">
        <f>IFERROR(IF(A12&lt;='EMI Calculator'!B7,MAX(C12-E12,0),""),"")</f>
        <v/>
      </c>
      <c r="H12" s="23">
        <f>IFERROR(IF(A12&lt;='EMI Calculator'!B7,H11+F12,""),"")</f>
        <v/>
      </c>
      <c r="I12" s="23">
        <f>IFERROR(IF(A12&lt;='EMI Calculator'!B7,I11+E12,""),"")</f>
        <v/>
      </c>
    </row>
    <row r="13">
      <c r="A13" s="18" t="n">
        <v>10</v>
      </c>
      <c r="B13" s="19">
        <f>IFERROR(DATE(YEAR(B12),MONTH(B12)+1,DAY(B12)),"")</f>
        <v/>
      </c>
      <c r="C13" s="20">
        <f>IFERROR(IF(A13&lt;='EMI Calculator'!B7,G12,""),"")</f>
        <v/>
      </c>
      <c r="D13" s="20">
        <f>IFERROR(IF(A13&lt;='EMI Calculator'!B7,'EMI Calculator'!B11,""),"")</f>
        <v/>
      </c>
      <c r="E13" s="20">
        <f>IFERROR(IF(A13&lt;='EMI Calculator'!B7,D13-F13,""),"")</f>
        <v/>
      </c>
      <c r="F13" s="20">
        <f>IFERROR(IF(A13&lt;='EMI Calculator'!B7,C13*'EMI Calculator'!B6/12,""),"")</f>
        <v/>
      </c>
      <c r="G13" s="20">
        <f>IFERROR(IF(A13&lt;='EMI Calculator'!B7,MAX(C13-E13,0),""),"")</f>
        <v/>
      </c>
      <c r="H13" s="20">
        <f>IFERROR(IF(A13&lt;='EMI Calculator'!B7,H12+F13,""),"")</f>
        <v/>
      </c>
      <c r="I13" s="20">
        <f>IFERROR(IF(A13&lt;='EMI Calculator'!B7,I12+E13,""),"")</f>
        <v/>
      </c>
    </row>
    <row r="14">
      <c r="A14" s="21" t="n">
        <v>11</v>
      </c>
      <c r="B14" s="22">
        <f>IFERROR(DATE(YEAR(B13),MONTH(B13)+1,DAY(B13)),"")</f>
        <v/>
      </c>
      <c r="C14" s="23">
        <f>IFERROR(IF(A14&lt;='EMI Calculator'!B7,G13,""),"")</f>
        <v/>
      </c>
      <c r="D14" s="23">
        <f>IFERROR(IF(A14&lt;='EMI Calculator'!B7,'EMI Calculator'!B11,""),"")</f>
        <v/>
      </c>
      <c r="E14" s="23">
        <f>IFERROR(IF(A14&lt;='EMI Calculator'!B7,D14-F14,""),"")</f>
        <v/>
      </c>
      <c r="F14" s="23">
        <f>IFERROR(IF(A14&lt;='EMI Calculator'!B7,C14*'EMI Calculator'!B6/12,""),"")</f>
        <v/>
      </c>
      <c r="G14" s="23">
        <f>IFERROR(IF(A14&lt;='EMI Calculator'!B7,MAX(C14-E14,0),""),"")</f>
        <v/>
      </c>
      <c r="H14" s="23">
        <f>IFERROR(IF(A14&lt;='EMI Calculator'!B7,H13+F14,""),"")</f>
        <v/>
      </c>
      <c r="I14" s="23">
        <f>IFERROR(IF(A14&lt;='EMI Calculator'!B7,I13+E14,""),"")</f>
        <v/>
      </c>
    </row>
    <row r="15">
      <c r="A15" s="18" t="n">
        <v>12</v>
      </c>
      <c r="B15" s="19">
        <f>IFERROR(DATE(YEAR(B14),MONTH(B14)+1,DAY(B14)),"")</f>
        <v/>
      </c>
      <c r="C15" s="20">
        <f>IFERROR(IF(A15&lt;='EMI Calculator'!B7,G14,""),"")</f>
        <v/>
      </c>
      <c r="D15" s="20">
        <f>IFERROR(IF(A15&lt;='EMI Calculator'!B7,'EMI Calculator'!B11,""),"")</f>
        <v/>
      </c>
      <c r="E15" s="20">
        <f>IFERROR(IF(A15&lt;='EMI Calculator'!B7,D15-F15,""),"")</f>
        <v/>
      </c>
      <c r="F15" s="20">
        <f>IFERROR(IF(A15&lt;='EMI Calculator'!B7,C15*'EMI Calculator'!B6/12,""),"")</f>
        <v/>
      </c>
      <c r="G15" s="20">
        <f>IFERROR(IF(A15&lt;='EMI Calculator'!B7,MAX(C15-E15,0),""),"")</f>
        <v/>
      </c>
      <c r="H15" s="20">
        <f>IFERROR(IF(A15&lt;='EMI Calculator'!B7,H14+F15,""),"")</f>
        <v/>
      </c>
      <c r="I15" s="20">
        <f>IFERROR(IF(A15&lt;='EMI Calculator'!B7,I14+E15,""),"")</f>
        <v/>
      </c>
    </row>
    <row r="16">
      <c r="A16" s="21" t="n">
        <v>13</v>
      </c>
      <c r="B16" s="22">
        <f>IFERROR(DATE(YEAR(B15),MONTH(B15)+1,DAY(B15)),"")</f>
        <v/>
      </c>
      <c r="C16" s="23">
        <f>IFERROR(IF(A16&lt;='EMI Calculator'!B7,G15,""),"")</f>
        <v/>
      </c>
      <c r="D16" s="23">
        <f>IFERROR(IF(A16&lt;='EMI Calculator'!B7,'EMI Calculator'!B11,""),"")</f>
        <v/>
      </c>
      <c r="E16" s="23">
        <f>IFERROR(IF(A16&lt;='EMI Calculator'!B7,D16-F16,""),"")</f>
        <v/>
      </c>
      <c r="F16" s="23">
        <f>IFERROR(IF(A16&lt;='EMI Calculator'!B7,C16*'EMI Calculator'!B6/12,""),"")</f>
        <v/>
      </c>
      <c r="G16" s="23">
        <f>IFERROR(IF(A16&lt;='EMI Calculator'!B7,MAX(C16-E16,0),""),"")</f>
        <v/>
      </c>
      <c r="H16" s="23">
        <f>IFERROR(IF(A16&lt;='EMI Calculator'!B7,H15+F16,""),"")</f>
        <v/>
      </c>
      <c r="I16" s="23">
        <f>IFERROR(IF(A16&lt;='EMI Calculator'!B7,I15+E16,""),"")</f>
        <v/>
      </c>
    </row>
    <row r="17">
      <c r="A17" s="18" t="n">
        <v>14</v>
      </c>
      <c r="B17" s="19">
        <f>IFERROR(DATE(YEAR(B16),MONTH(B16)+1,DAY(B16)),"")</f>
        <v/>
      </c>
      <c r="C17" s="20">
        <f>IFERROR(IF(A17&lt;='EMI Calculator'!B7,G16,""),"")</f>
        <v/>
      </c>
      <c r="D17" s="20">
        <f>IFERROR(IF(A17&lt;='EMI Calculator'!B7,'EMI Calculator'!B11,""),"")</f>
        <v/>
      </c>
      <c r="E17" s="20">
        <f>IFERROR(IF(A17&lt;='EMI Calculator'!B7,D17-F17,""),"")</f>
        <v/>
      </c>
      <c r="F17" s="20">
        <f>IFERROR(IF(A17&lt;='EMI Calculator'!B7,C17*'EMI Calculator'!B6/12,""),"")</f>
        <v/>
      </c>
      <c r="G17" s="20">
        <f>IFERROR(IF(A17&lt;='EMI Calculator'!B7,MAX(C17-E17,0),""),"")</f>
        <v/>
      </c>
      <c r="H17" s="20">
        <f>IFERROR(IF(A17&lt;='EMI Calculator'!B7,H16+F17,""),"")</f>
        <v/>
      </c>
      <c r="I17" s="20">
        <f>IFERROR(IF(A17&lt;='EMI Calculator'!B7,I16+E17,""),"")</f>
        <v/>
      </c>
    </row>
    <row r="18">
      <c r="A18" s="21" t="n">
        <v>15</v>
      </c>
      <c r="B18" s="22">
        <f>IFERROR(DATE(YEAR(B17),MONTH(B17)+1,DAY(B17)),"")</f>
        <v/>
      </c>
      <c r="C18" s="23">
        <f>IFERROR(IF(A18&lt;='EMI Calculator'!B7,G17,""),"")</f>
        <v/>
      </c>
      <c r="D18" s="23">
        <f>IFERROR(IF(A18&lt;='EMI Calculator'!B7,'EMI Calculator'!B11,""),"")</f>
        <v/>
      </c>
      <c r="E18" s="23">
        <f>IFERROR(IF(A18&lt;='EMI Calculator'!B7,D18-F18,""),"")</f>
        <v/>
      </c>
      <c r="F18" s="23">
        <f>IFERROR(IF(A18&lt;='EMI Calculator'!B7,C18*'EMI Calculator'!B6/12,""),"")</f>
        <v/>
      </c>
      <c r="G18" s="23">
        <f>IFERROR(IF(A18&lt;='EMI Calculator'!B7,MAX(C18-E18,0),""),"")</f>
        <v/>
      </c>
      <c r="H18" s="23">
        <f>IFERROR(IF(A18&lt;='EMI Calculator'!B7,H17+F18,""),"")</f>
        <v/>
      </c>
      <c r="I18" s="23">
        <f>IFERROR(IF(A18&lt;='EMI Calculator'!B7,I17+E18,""),"")</f>
        <v/>
      </c>
    </row>
    <row r="19">
      <c r="A19" s="18" t="n">
        <v>16</v>
      </c>
      <c r="B19" s="19">
        <f>IFERROR(DATE(YEAR(B18),MONTH(B18)+1,DAY(B18)),"")</f>
        <v/>
      </c>
      <c r="C19" s="20">
        <f>IFERROR(IF(A19&lt;='EMI Calculator'!B7,G18,""),"")</f>
        <v/>
      </c>
      <c r="D19" s="20">
        <f>IFERROR(IF(A19&lt;='EMI Calculator'!B7,'EMI Calculator'!B11,""),"")</f>
        <v/>
      </c>
      <c r="E19" s="20">
        <f>IFERROR(IF(A19&lt;='EMI Calculator'!B7,D19-F19,""),"")</f>
        <v/>
      </c>
      <c r="F19" s="20">
        <f>IFERROR(IF(A19&lt;='EMI Calculator'!B7,C19*'EMI Calculator'!B6/12,""),"")</f>
        <v/>
      </c>
      <c r="G19" s="20">
        <f>IFERROR(IF(A19&lt;='EMI Calculator'!B7,MAX(C19-E19,0),""),"")</f>
        <v/>
      </c>
      <c r="H19" s="20">
        <f>IFERROR(IF(A19&lt;='EMI Calculator'!B7,H18+F19,""),"")</f>
        <v/>
      </c>
      <c r="I19" s="20">
        <f>IFERROR(IF(A19&lt;='EMI Calculator'!B7,I18+E19,""),"")</f>
        <v/>
      </c>
    </row>
    <row r="20">
      <c r="A20" s="21" t="n">
        <v>17</v>
      </c>
      <c r="B20" s="22">
        <f>IFERROR(DATE(YEAR(B19),MONTH(B19)+1,DAY(B19)),"")</f>
        <v/>
      </c>
      <c r="C20" s="23">
        <f>IFERROR(IF(A20&lt;='EMI Calculator'!B7,G19,""),"")</f>
        <v/>
      </c>
      <c r="D20" s="23">
        <f>IFERROR(IF(A20&lt;='EMI Calculator'!B7,'EMI Calculator'!B11,""),"")</f>
        <v/>
      </c>
      <c r="E20" s="23">
        <f>IFERROR(IF(A20&lt;='EMI Calculator'!B7,D20-F20,""),"")</f>
        <v/>
      </c>
      <c r="F20" s="23">
        <f>IFERROR(IF(A20&lt;='EMI Calculator'!B7,C20*'EMI Calculator'!B6/12,""),"")</f>
        <v/>
      </c>
      <c r="G20" s="23">
        <f>IFERROR(IF(A20&lt;='EMI Calculator'!B7,MAX(C20-E20,0),""),"")</f>
        <v/>
      </c>
      <c r="H20" s="23">
        <f>IFERROR(IF(A20&lt;='EMI Calculator'!B7,H19+F20,""),"")</f>
        <v/>
      </c>
      <c r="I20" s="23">
        <f>IFERROR(IF(A20&lt;='EMI Calculator'!B7,I19+E20,""),"")</f>
        <v/>
      </c>
    </row>
    <row r="21">
      <c r="A21" s="18" t="n">
        <v>18</v>
      </c>
      <c r="B21" s="19">
        <f>IFERROR(DATE(YEAR(B20),MONTH(B20)+1,DAY(B20)),"")</f>
        <v/>
      </c>
      <c r="C21" s="20">
        <f>IFERROR(IF(A21&lt;='EMI Calculator'!B7,G20,""),"")</f>
        <v/>
      </c>
      <c r="D21" s="20">
        <f>IFERROR(IF(A21&lt;='EMI Calculator'!B7,'EMI Calculator'!B11,""),"")</f>
        <v/>
      </c>
      <c r="E21" s="20">
        <f>IFERROR(IF(A21&lt;='EMI Calculator'!B7,D21-F21,""),"")</f>
        <v/>
      </c>
      <c r="F21" s="20">
        <f>IFERROR(IF(A21&lt;='EMI Calculator'!B7,C21*'EMI Calculator'!B6/12,""),"")</f>
        <v/>
      </c>
      <c r="G21" s="20">
        <f>IFERROR(IF(A21&lt;='EMI Calculator'!B7,MAX(C21-E21,0),""),"")</f>
        <v/>
      </c>
      <c r="H21" s="20">
        <f>IFERROR(IF(A21&lt;='EMI Calculator'!B7,H20+F21,""),"")</f>
        <v/>
      </c>
      <c r="I21" s="20">
        <f>IFERROR(IF(A21&lt;='EMI Calculator'!B7,I20+E21,""),"")</f>
        <v/>
      </c>
    </row>
    <row r="22">
      <c r="A22" s="21" t="n">
        <v>19</v>
      </c>
      <c r="B22" s="22">
        <f>IFERROR(DATE(YEAR(B21),MONTH(B21)+1,DAY(B21)),"")</f>
        <v/>
      </c>
      <c r="C22" s="23">
        <f>IFERROR(IF(A22&lt;='EMI Calculator'!B7,G21,""),"")</f>
        <v/>
      </c>
      <c r="D22" s="23">
        <f>IFERROR(IF(A22&lt;='EMI Calculator'!B7,'EMI Calculator'!B11,""),"")</f>
        <v/>
      </c>
      <c r="E22" s="23">
        <f>IFERROR(IF(A22&lt;='EMI Calculator'!B7,D22-F22,""),"")</f>
        <v/>
      </c>
      <c r="F22" s="23">
        <f>IFERROR(IF(A22&lt;='EMI Calculator'!B7,C22*'EMI Calculator'!B6/12,""),"")</f>
        <v/>
      </c>
      <c r="G22" s="23">
        <f>IFERROR(IF(A22&lt;='EMI Calculator'!B7,MAX(C22-E22,0),""),"")</f>
        <v/>
      </c>
      <c r="H22" s="23">
        <f>IFERROR(IF(A22&lt;='EMI Calculator'!B7,H21+F22,""),"")</f>
        <v/>
      </c>
      <c r="I22" s="23">
        <f>IFERROR(IF(A22&lt;='EMI Calculator'!B7,I21+E22,""),"")</f>
        <v/>
      </c>
    </row>
    <row r="23">
      <c r="A23" s="18" t="n">
        <v>20</v>
      </c>
      <c r="B23" s="19">
        <f>IFERROR(DATE(YEAR(B22),MONTH(B22)+1,DAY(B22)),"")</f>
        <v/>
      </c>
      <c r="C23" s="20">
        <f>IFERROR(IF(A23&lt;='EMI Calculator'!B7,G22,""),"")</f>
        <v/>
      </c>
      <c r="D23" s="20">
        <f>IFERROR(IF(A23&lt;='EMI Calculator'!B7,'EMI Calculator'!B11,""),"")</f>
        <v/>
      </c>
      <c r="E23" s="20">
        <f>IFERROR(IF(A23&lt;='EMI Calculator'!B7,D23-F23,""),"")</f>
        <v/>
      </c>
      <c r="F23" s="20">
        <f>IFERROR(IF(A23&lt;='EMI Calculator'!B7,C23*'EMI Calculator'!B6/12,""),"")</f>
        <v/>
      </c>
      <c r="G23" s="20">
        <f>IFERROR(IF(A23&lt;='EMI Calculator'!B7,MAX(C23-E23,0),""),"")</f>
        <v/>
      </c>
      <c r="H23" s="20">
        <f>IFERROR(IF(A23&lt;='EMI Calculator'!B7,H22+F23,""),"")</f>
        <v/>
      </c>
      <c r="I23" s="20">
        <f>IFERROR(IF(A23&lt;='EMI Calculator'!B7,I22+E23,""),"")</f>
        <v/>
      </c>
    </row>
    <row r="24">
      <c r="A24" s="21" t="n">
        <v>21</v>
      </c>
      <c r="B24" s="22">
        <f>IFERROR(DATE(YEAR(B23),MONTH(B23)+1,DAY(B23)),"")</f>
        <v/>
      </c>
      <c r="C24" s="23">
        <f>IFERROR(IF(A24&lt;='EMI Calculator'!B7,G23,""),"")</f>
        <v/>
      </c>
      <c r="D24" s="23">
        <f>IFERROR(IF(A24&lt;='EMI Calculator'!B7,'EMI Calculator'!B11,""),"")</f>
        <v/>
      </c>
      <c r="E24" s="23">
        <f>IFERROR(IF(A24&lt;='EMI Calculator'!B7,D24-F24,""),"")</f>
        <v/>
      </c>
      <c r="F24" s="23">
        <f>IFERROR(IF(A24&lt;='EMI Calculator'!B7,C24*'EMI Calculator'!B6/12,""),"")</f>
        <v/>
      </c>
      <c r="G24" s="23">
        <f>IFERROR(IF(A24&lt;='EMI Calculator'!B7,MAX(C24-E24,0),""),"")</f>
        <v/>
      </c>
      <c r="H24" s="23">
        <f>IFERROR(IF(A24&lt;='EMI Calculator'!B7,H23+F24,""),"")</f>
        <v/>
      </c>
      <c r="I24" s="23">
        <f>IFERROR(IF(A24&lt;='EMI Calculator'!B7,I23+E24,""),"")</f>
        <v/>
      </c>
    </row>
    <row r="25">
      <c r="A25" s="18" t="n">
        <v>22</v>
      </c>
      <c r="B25" s="19">
        <f>IFERROR(DATE(YEAR(B24),MONTH(B24)+1,DAY(B24)),"")</f>
        <v/>
      </c>
      <c r="C25" s="20">
        <f>IFERROR(IF(A25&lt;='EMI Calculator'!B7,G24,""),"")</f>
        <v/>
      </c>
      <c r="D25" s="20">
        <f>IFERROR(IF(A25&lt;='EMI Calculator'!B7,'EMI Calculator'!B11,""),"")</f>
        <v/>
      </c>
      <c r="E25" s="20">
        <f>IFERROR(IF(A25&lt;='EMI Calculator'!B7,D25-F25,""),"")</f>
        <v/>
      </c>
      <c r="F25" s="20">
        <f>IFERROR(IF(A25&lt;='EMI Calculator'!B7,C25*'EMI Calculator'!B6/12,""),"")</f>
        <v/>
      </c>
      <c r="G25" s="20">
        <f>IFERROR(IF(A25&lt;='EMI Calculator'!B7,MAX(C25-E25,0),""),"")</f>
        <v/>
      </c>
      <c r="H25" s="20">
        <f>IFERROR(IF(A25&lt;='EMI Calculator'!B7,H24+F25,""),"")</f>
        <v/>
      </c>
      <c r="I25" s="20">
        <f>IFERROR(IF(A25&lt;='EMI Calculator'!B7,I24+E25,""),"")</f>
        <v/>
      </c>
    </row>
    <row r="26">
      <c r="A26" s="21" t="n">
        <v>23</v>
      </c>
      <c r="B26" s="22">
        <f>IFERROR(DATE(YEAR(B25),MONTH(B25)+1,DAY(B25)),"")</f>
        <v/>
      </c>
      <c r="C26" s="23">
        <f>IFERROR(IF(A26&lt;='EMI Calculator'!B7,G25,""),"")</f>
        <v/>
      </c>
      <c r="D26" s="23">
        <f>IFERROR(IF(A26&lt;='EMI Calculator'!B7,'EMI Calculator'!B11,""),"")</f>
        <v/>
      </c>
      <c r="E26" s="23">
        <f>IFERROR(IF(A26&lt;='EMI Calculator'!B7,D26-F26,""),"")</f>
        <v/>
      </c>
      <c r="F26" s="23">
        <f>IFERROR(IF(A26&lt;='EMI Calculator'!B7,C26*'EMI Calculator'!B6/12,""),"")</f>
        <v/>
      </c>
      <c r="G26" s="23">
        <f>IFERROR(IF(A26&lt;='EMI Calculator'!B7,MAX(C26-E26,0),""),"")</f>
        <v/>
      </c>
      <c r="H26" s="23">
        <f>IFERROR(IF(A26&lt;='EMI Calculator'!B7,H25+F26,""),"")</f>
        <v/>
      </c>
      <c r="I26" s="23">
        <f>IFERROR(IF(A26&lt;='EMI Calculator'!B7,I25+E26,""),"")</f>
        <v/>
      </c>
    </row>
    <row r="27">
      <c r="A27" s="18" t="n">
        <v>24</v>
      </c>
      <c r="B27" s="19">
        <f>IFERROR(DATE(YEAR(B26),MONTH(B26)+1,DAY(B26)),"")</f>
        <v/>
      </c>
      <c r="C27" s="20">
        <f>IFERROR(IF(A27&lt;='EMI Calculator'!B7,G26,""),"")</f>
        <v/>
      </c>
      <c r="D27" s="20">
        <f>IFERROR(IF(A27&lt;='EMI Calculator'!B7,'EMI Calculator'!B11,""),"")</f>
        <v/>
      </c>
      <c r="E27" s="20">
        <f>IFERROR(IF(A27&lt;='EMI Calculator'!B7,D27-F27,""),"")</f>
        <v/>
      </c>
      <c r="F27" s="20">
        <f>IFERROR(IF(A27&lt;='EMI Calculator'!B7,C27*'EMI Calculator'!B6/12,""),"")</f>
        <v/>
      </c>
      <c r="G27" s="20">
        <f>IFERROR(IF(A27&lt;='EMI Calculator'!B7,MAX(C27-E27,0),""),"")</f>
        <v/>
      </c>
      <c r="H27" s="20">
        <f>IFERROR(IF(A27&lt;='EMI Calculator'!B7,H26+F27,""),"")</f>
        <v/>
      </c>
      <c r="I27" s="20">
        <f>IFERROR(IF(A27&lt;='EMI Calculator'!B7,I26+E27,""),"")</f>
        <v/>
      </c>
    </row>
    <row r="28">
      <c r="A28" s="21" t="n">
        <v>25</v>
      </c>
      <c r="B28" s="22">
        <f>IFERROR(DATE(YEAR(B27),MONTH(B27)+1,DAY(B27)),"")</f>
        <v/>
      </c>
      <c r="C28" s="23">
        <f>IFERROR(IF(A28&lt;='EMI Calculator'!B7,G27,""),"")</f>
        <v/>
      </c>
      <c r="D28" s="23">
        <f>IFERROR(IF(A28&lt;='EMI Calculator'!B7,'EMI Calculator'!B11,""),"")</f>
        <v/>
      </c>
      <c r="E28" s="23">
        <f>IFERROR(IF(A28&lt;='EMI Calculator'!B7,D28-F28,""),"")</f>
        <v/>
      </c>
      <c r="F28" s="23">
        <f>IFERROR(IF(A28&lt;='EMI Calculator'!B7,C28*'EMI Calculator'!B6/12,""),"")</f>
        <v/>
      </c>
      <c r="G28" s="23">
        <f>IFERROR(IF(A28&lt;='EMI Calculator'!B7,MAX(C28-E28,0),""),"")</f>
        <v/>
      </c>
      <c r="H28" s="23">
        <f>IFERROR(IF(A28&lt;='EMI Calculator'!B7,H27+F28,""),"")</f>
        <v/>
      </c>
      <c r="I28" s="23">
        <f>IFERROR(IF(A28&lt;='EMI Calculator'!B7,I27+E28,""),"")</f>
        <v/>
      </c>
    </row>
    <row r="29">
      <c r="A29" s="18" t="n">
        <v>26</v>
      </c>
      <c r="B29" s="19">
        <f>IFERROR(DATE(YEAR(B28),MONTH(B28)+1,DAY(B28)),"")</f>
        <v/>
      </c>
      <c r="C29" s="20">
        <f>IFERROR(IF(A29&lt;='EMI Calculator'!B7,G28,""),"")</f>
        <v/>
      </c>
      <c r="D29" s="20">
        <f>IFERROR(IF(A29&lt;='EMI Calculator'!B7,'EMI Calculator'!B11,""),"")</f>
        <v/>
      </c>
      <c r="E29" s="20">
        <f>IFERROR(IF(A29&lt;='EMI Calculator'!B7,D29-F29,""),"")</f>
        <v/>
      </c>
      <c r="F29" s="20">
        <f>IFERROR(IF(A29&lt;='EMI Calculator'!B7,C29*'EMI Calculator'!B6/12,""),"")</f>
        <v/>
      </c>
      <c r="G29" s="20">
        <f>IFERROR(IF(A29&lt;='EMI Calculator'!B7,MAX(C29-E29,0),""),"")</f>
        <v/>
      </c>
      <c r="H29" s="20">
        <f>IFERROR(IF(A29&lt;='EMI Calculator'!B7,H28+F29,""),"")</f>
        <v/>
      </c>
      <c r="I29" s="20">
        <f>IFERROR(IF(A29&lt;='EMI Calculator'!B7,I28+E29,""),"")</f>
        <v/>
      </c>
    </row>
    <row r="30">
      <c r="A30" s="21" t="n">
        <v>27</v>
      </c>
      <c r="B30" s="22">
        <f>IFERROR(DATE(YEAR(B29),MONTH(B29)+1,DAY(B29)),"")</f>
        <v/>
      </c>
      <c r="C30" s="23">
        <f>IFERROR(IF(A30&lt;='EMI Calculator'!B7,G29,""),"")</f>
        <v/>
      </c>
      <c r="D30" s="23">
        <f>IFERROR(IF(A30&lt;='EMI Calculator'!B7,'EMI Calculator'!B11,""),"")</f>
        <v/>
      </c>
      <c r="E30" s="23">
        <f>IFERROR(IF(A30&lt;='EMI Calculator'!B7,D30-F30,""),"")</f>
        <v/>
      </c>
      <c r="F30" s="23">
        <f>IFERROR(IF(A30&lt;='EMI Calculator'!B7,C30*'EMI Calculator'!B6/12,""),"")</f>
        <v/>
      </c>
      <c r="G30" s="23">
        <f>IFERROR(IF(A30&lt;='EMI Calculator'!B7,MAX(C30-E30,0),""),"")</f>
        <v/>
      </c>
      <c r="H30" s="23">
        <f>IFERROR(IF(A30&lt;='EMI Calculator'!B7,H29+F30,""),"")</f>
        <v/>
      </c>
      <c r="I30" s="23">
        <f>IFERROR(IF(A30&lt;='EMI Calculator'!B7,I29+E30,""),"")</f>
        <v/>
      </c>
    </row>
    <row r="31">
      <c r="A31" s="18" t="n">
        <v>28</v>
      </c>
      <c r="B31" s="19">
        <f>IFERROR(DATE(YEAR(B30),MONTH(B30)+1,DAY(B30)),"")</f>
        <v/>
      </c>
      <c r="C31" s="20">
        <f>IFERROR(IF(A31&lt;='EMI Calculator'!B7,G30,""),"")</f>
        <v/>
      </c>
      <c r="D31" s="20">
        <f>IFERROR(IF(A31&lt;='EMI Calculator'!B7,'EMI Calculator'!B11,""),"")</f>
        <v/>
      </c>
      <c r="E31" s="20">
        <f>IFERROR(IF(A31&lt;='EMI Calculator'!B7,D31-F31,""),"")</f>
        <v/>
      </c>
      <c r="F31" s="20">
        <f>IFERROR(IF(A31&lt;='EMI Calculator'!B7,C31*'EMI Calculator'!B6/12,""),"")</f>
        <v/>
      </c>
      <c r="G31" s="20">
        <f>IFERROR(IF(A31&lt;='EMI Calculator'!B7,MAX(C31-E31,0),""),"")</f>
        <v/>
      </c>
      <c r="H31" s="20">
        <f>IFERROR(IF(A31&lt;='EMI Calculator'!B7,H30+F31,""),"")</f>
        <v/>
      </c>
      <c r="I31" s="20">
        <f>IFERROR(IF(A31&lt;='EMI Calculator'!B7,I30+E31,""),"")</f>
        <v/>
      </c>
    </row>
    <row r="32">
      <c r="A32" s="21" t="n">
        <v>29</v>
      </c>
      <c r="B32" s="22">
        <f>IFERROR(DATE(YEAR(B31),MONTH(B31)+1,DAY(B31)),"")</f>
        <v/>
      </c>
      <c r="C32" s="23">
        <f>IFERROR(IF(A32&lt;='EMI Calculator'!B7,G31,""),"")</f>
        <v/>
      </c>
      <c r="D32" s="23">
        <f>IFERROR(IF(A32&lt;='EMI Calculator'!B7,'EMI Calculator'!B11,""),"")</f>
        <v/>
      </c>
      <c r="E32" s="23">
        <f>IFERROR(IF(A32&lt;='EMI Calculator'!B7,D32-F32,""),"")</f>
        <v/>
      </c>
      <c r="F32" s="23">
        <f>IFERROR(IF(A32&lt;='EMI Calculator'!B7,C32*'EMI Calculator'!B6/12,""),"")</f>
        <v/>
      </c>
      <c r="G32" s="23">
        <f>IFERROR(IF(A32&lt;='EMI Calculator'!B7,MAX(C32-E32,0),""),"")</f>
        <v/>
      </c>
      <c r="H32" s="23">
        <f>IFERROR(IF(A32&lt;='EMI Calculator'!B7,H31+F32,""),"")</f>
        <v/>
      </c>
      <c r="I32" s="23">
        <f>IFERROR(IF(A32&lt;='EMI Calculator'!B7,I31+E32,""),"")</f>
        <v/>
      </c>
    </row>
    <row r="33">
      <c r="A33" s="18" t="n">
        <v>30</v>
      </c>
      <c r="B33" s="19">
        <f>IFERROR(DATE(YEAR(B32),MONTH(B32)+1,DAY(B32)),"")</f>
        <v/>
      </c>
      <c r="C33" s="20">
        <f>IFERROR(IF(A33&lt;='EMI Calculator'!B7,G32,""),"")</f>
        <v/>
      </c>
      <c r="D33" s="20">
        <f>IFERROR(IF(A33&lt;='EMI Calculator'!B7,'EMI Calculator'!B11,""),"")</f>
        <v/>
      </c>
      <c r="E33" s="20">
        <f>IFERROR(IF(A33&lt;='EMI Calculator'!B7,D33-F33,""),"")</f>
        <v/>
      </c>
      <c r="F33" s="20">
        <f>IFERROR(IF(A33&lt;='EMI Calculator'!B7,C33*'EMI Calculator'!B6/12,""),"")</f>
        <v/>
      </c>
      <c r="G33" s="20">
        <f>IFERROR(IF(A33&lt;='EMI Calculator'!B7,MAX(C33-E33,0),""),"")</f>
        <v/>
      </c>
      <c r="H33" s="20">
        <f>IFERROR(IF(A33&lt;='EMI Calculator'!B7,H32+F33,""),"")</f>
        <v/>
      </c>
      <c r="I33" s="20">
        <f>IFERROR(IF(A33&lt;='EMI Calculator'!B7,I32+E33,""),"")</f>
        <v/>
      </c>
    </row>
    <row r="34">
      <c r="A34" s="21" t="n">
        <v>31</v>
      </c>
      <c r="B34" s="22">
        <f>IFERROR(DATE(YEAR(B33),MONTH(B33)+1,DAY(B33)),"")</f>
        <v/>
      </c>
      <c r="C34" s="23">
        <f>IFERROR(IF(A34&lt;='EMI Calculator'!B7,G33,""),"")</f>
        <v/>
      </c>
      <c r="D34" s="23">
        <f>IFERROR(IF(A34&lt;='EMI Calculator'!B7,'EMI Calculator'!B11,""),"")</f>
        <v/>
      </c>
      <c r="E34" s="23">
        <f>IFERROR(IF(A34&lt;='EMI Calculator'!B7,D34-F34,""),"")</f>
        <v/>
      </c>
      <c r="F34" s="23">
        <f>IFERROR(IF(A34&lt;='EMI Calculator'!B7,C34*'EMI Calculator'!B6/12,""),"")</f>
        <v/>
      </c>
      <c r="G34" s="23">
        <f>IFERROR(IF(A34&lt;='EMI Calculator'!B7,MAX(C34-E34,0),""),"")</f>
        <v/>
      </c>
      <c r="H34" s="23">
        <f>IFERROR(IF(A34&lt;='EMI Calculator'!B7,H33+F34,""),"")</f>
        <v/>
      </c>
      <c r="I34" s="23">
        <f>IFERROR(IF(A34&lt;='EMI Calculator'!B7,I33+E34,""),"")</f>
        <v/>
      </c>
    </row>
    <row r="35">
      <c r="A35" s="18" t="n">
        <v>32</v>
      </c>
      <c r="B35" s="19">
        <f>IFERROR(DATE(YEAR(B34),MONTH(B34)+1,DAY(B34)),"")</f>
        <v/>
      </c>
      <c r="C35" s="20">
        <f>IFERROR(IF(A35&lt;='EMI Calculator'!B7,G34,""),"")</f>
        <v/>
      </c>
      <c r="D35" s="20">
        <f>IFERROR(IF(A35&lt;='EMI Calculator'!B7,'EMI Calculator'!B11,""),"")</f>
        <v/>
      </c>
      <c r="E35" s="20">
        <f>IFERROR(IF(A35&lt;='EMI Calculator'!B7,D35-F35,""),"")</f>
        <v/>
      </c>
      <c r="F35" s="20">
        <f>IFERROR(IF(A35&lt;='EMI Calculator'!B7,C35*'EMI Calculator'!B6/12,""),"")</f>
        <v/>
      </c>
      <c r="G35" s="20">
        <f>IFERROR(IF(A35&lt;='EMI Calculator'!B7,MAX(C35-E35,0),""),"")</f>
        <v/>
      </c>
      <c r="H35" s="20">
        <f>IFERROR(IF(A35&lt;='EMI Calculator'!B7,H34+F35,""),"")</f>
        <v/>
      </c>
      <c r="I35" s="20">
        <f>IFERROR(IF(A35&lt;='EMI Calculator'!B7,I34+E35,""),"")</f>
        <v/>
      </c>
    </row>
    <row r="36">
      <c r="A36" s="21" t="n">
        <v>33</v>
      </c>
      <c r="B36" s="22">
        <f>IFERROR(DATE(YEAR(B35),MONTH(B35)+1,DAY(B35)),"")</f>
        <v/>
      </c>
      <c r="C36" s="23">
        <f>IFERROR(IF(A36&lt;='EMI Calculator'!B7,G35,""),"")</f>
        <v/>
      </c>
      <c r="D36" s="23">
        <f>IFERROR(IF(A36&lt;='EMI Calculator'!B7,'EMI Calculator'!B11,""),"")</f>
        <v/>
      </c>
      <c r="E36" s="23">
        <f>IFERROR(IF(A36&lt;='EMI Calculator'!B7,D36-F36,""),"")</f>
        <v/>
      </c>
      <c r="F36" s="23">
        <f>IFERROR(IF(A36&lt;='EMI Calculator'!B7,C36*'EMI Calculator'!B6/12,""),"")</f>
        <v/>
      </c>
      <c r="G36" s="23">
        <f>IFERROR(IF(A36&lt;='EMI Calculator'!B7,MAX(C36-E36,0),""),"")</f>
        <v/>
      </c>
      <c r="H36" s="23">
        <f>IFERROR(IF(A36&lt;='EMI Calculator'!B7,H35+F36,""),"")</f>
        <v/>
      </c>
      <c r="I36" s="23">
        <f>IFERROR(IF(A36&lt;='EMI Calculator'!B7,I35+E36,""),"")</f>
        <v/>
      </c>
    </row>
    <row r="37">
      <c r="A37" s="18" t="n">
        <v>34</v>
      </c>
      <c r="B37" s="19">
        <f>IFERROR(DATE(YEAR(B36),MONTH(B36)+1,DAY(B36)),"")</f>
        <v/>
      </c>
      <c r="C37" s="20">
        <f>IFERROR(IF(A37&lt;='EMI Calculator'!B7,G36,""),"")</f>
        <v/>
      </c>
      <c r="D37" s="20">
        <f>IFERROR(IF(A37&lt;='EMI Calculator'!B7,'EMI Calculator'!B11,""),"")</f>
        <v/>
      </c>
      <c r="E37" s="20">
        <f>IFERROR(IF(A37&lt;='EMI Calculator'!B7,D37-F37,""),"")</f>
        <v/>
      </c>
      <c r="F37" s="20">
        <f>IFERROR(IF(A37&lt;='EMI Calculator'!B7,C37*'EMI Calculator'!B6/12,""),"")</f>
        <v/>
      </c>
      <c r="G37" s="20">
        <f>IFERROR(IF(A37&lt;='EMI Calculator'!B7,MAX(C37-E37,0),""),"")</f>
        <v/>
      </c>
      <c r="H37" s="20">
        <f>IFERROR(IF(A37&lt;='EMI Calculator'!B7,H36+F37,""),"")</f>
        <v/>
      </c>
      <c r="I37" s="20">
        <f>IFERROR(IF(A37&lt;='EMI Calculator'!B7,I36+E37,""),"")</f>
        <v/>
      </c>
    </row>
    <row r="38">
      <c r="A38" s="21" t="n">
        <v>35</v>
      </c>
      <c r="B38" s="22">
        <f>IFERROR(DATE(YEAR(B37),MONTH(B37)+1,DAY(B37)),"")</f>
        <v/>
      </c>
      <c r="C38" s="23">
        <f>IFERROR(IF(A38&lt;='EMI Calculator'!B7,G37,""),"")</f>
        <v/>
      </c>
      <c r="D38" s="23">
        <f>IFERROR(IF(A38&lt;='EMI Calculator'!B7,'EMI Calculator'!B11,""),"")</f>
        <v/>
      </c>
      <c r="E38" s="23">
        <f>IFERROR(IF(A38&lt;='EMI Calculator'!B7,D38-F38,""),"")</f>
        <v/>
      </c>
      <c r="F38" s="23">
        <f>IFERROR(IF(A38&lt;='EMI Calculator'!B7,C38*'EMI Calculator'!B6/12,""),"")</f>
        <v/>
      </c>
      <c r="G38" s="23">
        <f>IFERROR(IF(A38&lt;='EMI Calculator'!B7,MAX(C38-E38,0),""),"")</f>
        <v/>
      </c>
      <c r="H38" s="23">
        <f>IFERROR(IF(A38&lt;='EMI Calculator'!B7,H37+F38,""),"")</f>
        <v/>
      </c>
      <c r="I38" s="23">
        <f>IFERROR(IF(A38&lt;='EMI Calculator'!B7,I37+E38,""),"")</f>
        <v/>
      </c>
    </row>
    <row r="39">
      <c r="A39" s="18" t="n">
        <v>36</v>
      </c>
      <c r="B39" s="19">
        <f>IFERROR(DATE(YEAR(B38),MONTH(B38)+1,DAY(B38)),"")</f>
        <v/>
      </c>
      <c r="C39" s="20">
        <f>IFERROR(IF(A39&lt;='EMI Calculator'!B7,G38,""),"")</f>
        <v/>
      </c>
      <c r="D39" s="20">
        <f>IFERROR(IF(A39&lt;='EMI Calculator'!B7,'EMI Calculator'!B11,""),"")</f>
        <v/>
      </c>
      <c r="E39" s="20">
        <f>IFERROR(IF(A39&lt;='EMI Calculator'!B7,D39-F39,""),"")</f>
        <v/>
      </c>
      <c r="F39" s="20">
        <f>IFERROR(IF(A39&lt;='EMI Calculator'!B7,C39*'EMI Calculator'!B6/12,""),"")</f>
        <v/>
      </c>
      <c r="G39" s="20">
        <f>IFERROR(IF(A39&lt;='EMI Calculator'!B7,MAX(C39-E39,0),""),"")</f>
        <v/>
      </c>
      <c r="H39" s="20">
        <f>IFERROR(IF(A39&lt;='EMI Calculator'!B7,H38+F39,""),"")</f>
        <v/>
      </c>
      <c r="I39" s="20">
        <f>IFERROR(IF(A39&lt;='EMI Calculator'!B7,I38+E39,""),"")</f>
        <v/>
      </c>
    </row>
    <row r="40">
      <c r="A40" s="21" t="n">
        <v>37</v>
      </c>
      <c r="B40" s="22">
        <f>IFERROR(DATE(YEAR(B39),MONTH(B39)+1,DAY(B39)),"")</f>
        <v/>
      </c>
      <c r="C40" s="23">
        <f>IFERROR(IF(A40&lt;='EMI Calculator'!B7,G39,""),"")</f>
        <v/>
      </c>
      <c r="D40" s="23">
        <f>IFERROR(IF(A40&lt;='EMI Calculator'!B7,'EMI Calculator'!B11,""),"")</f>
        <v/>
      </c>
      <c r="E40" s="23">
        <f>IFERROR(IF(A40&lt;='EMI Calculator'!B7,D40-F40,""),"")</f>
        <v/>
      </c>
      <c r="F40" s="23">
        <f>IFERROR(IF(A40&lt;='EMI Calculator'!B7,C40*'EMI Calculator'!B6/12,""),"")</f>
        <v/>
      </c>
      <c r="G40" s="23">
        <f>IFERROR(IF(A40&lt;='EMI Calculator'!B7,MAX(C40-E40,0),""),"")</f>
        <v/>
      </c>
      <c r="H40" s="23">
        <f>IFERROR(IF(A40&lt;='EMI Calculator'!B7,H39+F40,""),"")</f>
        <v/>
      </c>
      <c r="I40" s="23">
        <f>IFERROR(IF(A40&lt;='EMI Calculator'!B7,I39+E40,""),"")</f>
        <v/>
      </c>
    </row>
    <row r="41">
      <c r="A41" s="18" t="n">
        <v>38</v>
      </c>
      <c r="B41" s="19">
        <f>IFERROR(DATE(YEAR(B40),MONTH(B40)+1,DAY(B40)),"")</f>
        <v/>
      </c>
      <c r="C41" s="20">
        <f>IFERROR(IF(A41&lt;='EMI Calculator'!B7,G40,""),"")</f>
        <v/>
      </c>
      <c r="D41" s="20">
        <f>IFERROR(IF(A41&lt;='EMI Calculator'!B7,'EMI Calculator'!B11,""),"")</f>
        <v/>
      </c>
      <c r="E41" s="20">
        <f>IFERROR(IF(A41&lt;='EMI Calculator'!B7,D41-F41,""),"")</f>
        <v/>
      </c>
      <c r="F41" s="20">
        <f>IFERROR(IF(A41&lt;='EMI Calculator'!B7,C41*'EMI Calculator'!B6/12,""),"")</f>
        <v/>
      </c>
      <c r="G41" s="20">
        <f>IFERROR(IF(A41&lt;='EMI Calculator'!B7,MAX(C41-E41,0),""),"")</f>
        <v/>
      </c>
      <c r="H41" s="20">
        <f>IFERROR(IF(A41&lt;='EMI Calculator'!B7,H40+F41,""),"")</f>
        <v/>
      </c>
      <c r="I41" s="20">
        <f>IFERROR(IF(A41&lt;='EMI Calculator'!B7,I40+E41,""),"")</f>
        <v/>
      </c>
    </row>
    <row r="42">
      <c r="A42" s="21" t="n">
        <v>39</v>
      </c>
      <c r="B42" s="22">
        <f>IFERROR(DATE(YEAR(B41),MONTH(B41)+1,DAY(B41)),"")</f>
        <v/>
      </c>
      <c r="C42" s="23">
        <f>IFERROR(IF(A42&lt;='EMI Calculator'!B7,G41,""),"")</f>
        <v/>
      </c>
      <c r="D42" s="23">
        <f>IFERROR(IF(A42&lt;='EMI Calculator'!B7,'EMI Calculator'!B11,""),"")</f>
        <v/>
      </c>
      <c r="E42" s="23">
        <f>IFERROR(IF(A42&lt;='EMI Calculator'!B7,D42-F42,""),"")</f>
        <v/>
      </c>
      <c r="F42" s="23">
        <f>IFERROR(IF(A42&lt;='EMI Calculator'!B7,C42*'EMI Calculator'!B6/12,""),"")</f>
        <v/>
      </c>
      <c r="G42" s="23">
        <f>IFERROR(IF(A42&lt;='EMI Calculator'!B7,MAX(C42-E42,0),""),"")</f>
        <v/>
      </c>
      <c r="H42" s="23">
        <f>IFERROR(IF(A42&lt;='EMI Calculator'!B7,H41+F42,""),"")</f>
        <v/>
      </c>
      <c r="I42" s="23">
        <f>IFERROR(IF(A42&lt;='EMI Calculator'!B7,I41+E42,""),"")</f>
        <v/>
      </c>
    </row>
    <row r="43">
      <c r="A43" s="18" t="n">
        <v>40</v>
      </c>
      <c r="B43" s="19">
        <f>IFERROR(DATE(YEAR(B42),MONTH(B42)+1,DAY(B42)),"")</f>
        <v/>
      </c>
      <c r="C43" s="20">
        <f>IFERROR(IF(A43&lt;='EMI Calculator'!B7,G42,""),"")</f>
        <v/>
      </c>
      <c r="D43" s="20">
        <f>IFERROR(IF(A43&lt;='EMI Calculator'!B7,'EMI Calculator'!B11,""),"")</f>
        <v/>
      </c>
      <c r="E43" s="20">
        <f>IFERROR(IF(A43&lt;='EMI Calculator'!B7,D43-F43,""),"")</f>
        <v/>
      </c>
      <c r="F43" s="20">
        <f>IFERROR(IF(A43&lt;='EMI Calculator'!B7,C43*'EMI Calculator'!B6/12,""),"")</f>
        <v/>
      </c>
      <c r="G43" s="20">
        <f>IFERROR(IF(A43&lt;='EMI Calculator'!B7,MAX(C43-E43,0),""),"")</f>
        <v/>
      </c>
      <c r="H43" s="20">
        <f>IFERROR(IF(A43&lt;='EMI Calculator'!B7,H42+F43,""),"")</f>
        <v/>
      </c>
      <c r="I43" s="20">
        <f>IFERROR(IF(A43&lt;='EMI Calculator'!B7,I42+E43,""),"")</f>
        <v/>
      </c>
    </row>
    <row r="44">
      <c r="A44" s="21" t="n">
        <v>41</v>
      </c>
      <c r="B44" s="22">
        <f>IFERROR(DATE(YEAR(B43),MONTH(B43)+1,DAY(B43)),"")</f>
        <v/>
      </c>
      <c r="C44" s="23">
        <f>IFERROR(IF(A44&lt;='EMI Calculator'!B7,G43,""),"")</f>
        <v/>
      </c>
      <c r="D44" s="23">
        <f>IFERROR(IF(A44&lt;='EMI Calculator'!B7,'EMI Calculator'!B11,""),"")</f>
        <v/>
      </c>
      <c r="E44" s="23">
        <f>IFERROR(IF(A44&lt;='EMI Calculator'!B7,D44-F44,""),"")</f>
        <v/>
      </c>
      <c r="F44" s="23">
        <f>IFERROR(IF(A44&lt;='EMI Calculator'!B7,C44*'EMI Calculator'!B6/12,""),"")</f>
        <v/>
      </c>
      <c r="G44" s="23">
        <f>IFERROR(IF(A44&lt;='EMI Calculator'!B7,MAX(C44-E44,0),""),"")</f>
        <v/>
      </c>
      <c r="H44" s="23">
        <f>IFERROR(IF(A44&lt;='EMI Calculator'!B7,H43+F44,""),"")</f>
        <v/>
      </c>
      <c r="I44" s="23">
        <f>IFERROR(IF(A44&lt;='EMI Calculator'!B7,I43+E44,""),"")</f>
        <v/>
      </c>
    </row>
    <row r="45">
      <c r="A45" s="18" t="n">
        <v>42</v>
      </c>
      <c r="B45" s="19">
        <f>IFERROR(DATE(YEAR(B44),MONTH(B44)+1,DAY(B44)),"")</f>
        <v/>
      </c>
      <c r="C45" s="20">
        <f>IFERROR(IF(A45&lt;='EMI Calculator'!B7,G44,""),"")</f>
        <v/>
      </c>
      <c r="D45" s="20">
        <f>IFERROR(IF(A45&lt;='EMI Calculator'!B7,'EMI Calculator'!B11,""),"")</f>
        <v/>
      </c>
      <c r="E45" s="20">
        <f>IFERROR(IF(A45&lt;='EMI Calculator'!B7,D45-F45,""),"")</f>
        <v/>
      </c>
      <c r="F45" s="20">
        <f>IFERROR(IF(A45&lt;='EMI Calculator'!B7,C45*'EMI Calculator'!B6/12,""),"")</f>
        <v/>
      </c>
      <c r="G45" s="20">
        <f>IFERROR(IF(A45&lt;='EMI Calculator'!B7,MAX(C45-E45,0),""),"")</f>
        <v/>
      </c>
      <c r="H45" s="20">
        <f>IFERROR(IF(A45&lt;='EMI Calculator'!B7,H44+F45,""),"")</f>
        <v/>
      </c>
      <c r="I45" s="20">
        <f>IFERROR(IF(A45&lt;='EMI Calculator'!B7,I44+E45,""),"")</f>
        <v/>
      </c>
    </row>
    <row r="46">
      <c r="A46" s="21" t="n">
        <v>43</v>
      </c>
      <c r="B46" s="22">
        <f>IFERROR(DATE(YEAR(B45),MONTH(B45)+1,DAY(B45)),"")</f>
        <v/>
      </c>
      <c r="C46" s="23">
        <f>IFERROR(IF(A46&lt;='EMI Calculator'!B7,G45,""),"")</f>
        <v/>
      </c>
      <c r="D46" s="23">
        <f>IFERROR(IF(A46&lt;='EMI Calculator'!B7,'EMI Calculator'!B11,""),"")</f>
        <v/>
      </c>
      <c r="E46" s="23">
        <f>IFERROR(IF(A46&lt;='EMI Calculator'!B7,D46-F46,""),"")</f>
        <v/>
      </c>
      <c r="F46" s="23">
        <f>IFERROR(IF(A46&lt;='EMI Calculator'!B7,C46*'EMI Calculator'!B6/12,""),"")</f>
        <v/>
      </c>
      <c r="G46" s="23">
        <f>IFERROR(IF(A46&lt;='EMI Calculator'!B7,MAX(C46-E46,0),""),"")</f>
        <v/>
      </c>
      <c r="H46" s="23">
        <f>IFERROR(IF(A46&lt;='EMI Calculator'!B7,H45+F46,""),"")</f>
        <v/>
      </c>
      <c r="I46" s="23">
        <f>IFERROR(IF(A46&lt;='EMI Calculator'!B7,I45+E46,""),"")</f>
        <v/>
      </c>
    </row>
    <row r="47">
      <c r="A47" s="18" t="n">
        <v>44</v>
      </c>
      <c r="B47" s="19">
        <f>IFERROR(DATE(YEAR(B46),MONTH(B46)+1,DAY(B46)),"")</f>
        <v/>
      </c>
      <c r="C47" s="20">
        <f>IFERROR(IF(A47&lt;='EMI Calculator'!B7,G46,""),"")</f>
        <v/>
      </c>
      <c r="D47" s="20">
        <f>IFERROR(IF(A47&lt;='EMI Calculator'!B7,'EMI Calculator'!B11,""),"")</f>
        <v/>
      </c>
      <c r="E47" s="20">
        <f>IFERROR(IF(A47&lt;='EMI Calculator'!B7,D47-F47,""),"")</f>
        <v/>
      </c>
      <c r="F47" s="20">
        <f>IFERROR(IF(A47&lt;='EMI Calculator'!B7,C47*'EMI Calculator'!B6/12,""),"")</f>
        <v/>
      </c>
      <c r="G47" s="20">
        <f>IFERROR(IF(A47&lt;='EMI Calculator'!B7,MAX(C47-E47,0),""),"")</f>
        <v/>
      </c>
      <c r="H47" s="20">
        <f>IFERROR(IF(A47&lt;='EMI Calculator'!B7,H46+F47,""),"")</f>
        <v/>
      </c>
      <c r="I47" s="20">
        <f>IFERROR(IF(A47&lt;='EMI Calculator'!B7,I46+E47,""),"")</f>
        <v/>
      </c>
    </row>
    <row r="48">
      <c r="A48" s="21" t="n">
        <v>45</v>
      </c>
      <c r="B48" s="22">
        <f>IFERROR(DATE(YEAR(B47),MONTH(B47)+1,DAY(B47)),"")</f>
        <v/>
      </c>
      <c r="C48" s="23">
        <f>IFERROR(IF(A48&lt;='EMI Calculator'!B7,G47,""),"")</f>
        <v/>
      </c>
      <c r="D48" s="23">
        <f>IFERROR(IF(A48&lt;='EMI Calculator'!B7,'EMI Calculator'!B11,""),"")</f>
        <v/>
      </c>
      <c r="E48" s="23">
        <f>IFERROR(IF(A48&lt;='EMI Calculator'!B7,D48-F48,""),"")</f>
        <v/>
      </c>
      <c r="F48" s="23">
        <f>IFERROR(IF(A48&lt;='EMI Calculator'!B7,C48*'EMI Calculator'!B6/12,""),"")</f>
        <v/>
      </c>
      <c r="G48" s="23">
        <f>IFERROR(IF(A48&lt;='EMI Calculator'!B7,MAX(C48-E48,0),""),"")</f>
        <v/>
      </c>
      <c r="H48" s="23">
        <f>IFERROR(IF(A48&lt;='EMI Calculator'!B7,H47+F48,""),"")</f>
        <v/>
      </c>
      <c r="I48" s="23">
        <f>IFERROR(IF(A48&lt;='EMI Calculator'!B7,I47+E48,""),"")</f>
        <v/>
      </c>
    </row>
    <row r="49">
      <c r="A49" s="18" t="n">
        <v>46</v>
      </c>
      <c r="B49" s="19">
        <f>IFERROR(DATE(YEAR(B48),MONTH(B48)+1,DAY(B48)),"")</f>
        <v/>
      </c>
      <c r="C49" s="20">
        <f>IFERROR(IF(A49&lt;='EMI Calculator'!B7,G48,""),"")</f>
        <v/>
      </c>
      <c r="D49" s="20">
        <f>IFERROR(IF(A49&lt;='EMI Calculator'!B7,'EMI Calculator'!B11,""),"")</f>
        <v/>
      </c>
      <c r="E49" s="20">
        <f>IFERROR(IF(A49&lt;='EMI Calculator'!B7,D49-F49,""),"")</f>
        <v/>
      </c>
      <c r="F49" s="20">
        <f>IFERROR(IF(A49&lt;='EMI Calculator'!B7,C49*'EMI Calculator'!B6/12,""),"")</f>
        <v/>
      </c>
      <c r="G49" s="20">
        <f>IFERROR(IF(A49&lt;='EMI Calculator'!B7,MAX(C49-E49,0),""),"")</f>
        <v/>
      </c>
      <c r="H49" s="20">
        <f>IFERROR(IF(A49&lt;='EMI Calculator'!B7,H48+F49,""),"")</f>
        <v/>
      </c>
      <c r="I49" s="20">
        <f>IFERROR(IF(A49&lt;='EMI Calculator'!B7,I48+E49,""),"")</f>
        <v/>
      </c>
    </row>
    <row r="50">
      <c r="A50" s="21" t="n">
        <v>47</v>
      </c>
      <c r="B50" s="22">
        <f>IFERROR(DATE(YEAR(B49),MONTH(B49)+1,DAY(B49)),"")</f>
        <v/>
      </c>
      <c r="C50" s="23">
        <f>IFERROR(IF(A50&lt;='EMI Calculator'!B7,G49,""),"")</f>
        <v/>
      </c>
      <c r="D50" s="23">
        <f>IFERROR(IF(A50&lt;='EMI Calculator'!B7,'EMI Calculator'!B11,""),"")</f>
        <v/>
      </c>
      <c r="E50" s="23">
        <f>IFERROR(IF(A50&lt;='EMI Calculator'!B7,D50-F50,""),"")</f>
        <v/>
      </c>
      <c r="F50" s="23">
        <f>IFERROR(IF(A50&lt;='EMI Calculator'!B7,C50*'EMI Calculator'!B6/12,""),"")</f>
        <v/>
      </c>
      <c r="G50" s="23">
        <f>IFERROR(IF(A50&lt;='EMI Calculator'!B7,MAX(C50-E50,0),""),"")</f>
        <v/>
      </c>
      <c r="H50" s="23">
        <f>IFERROR(IF(A50&lt;='EMI Calculator'!B7,H49+F50,""),"")</f>
        <v/>
      </c>
      <c r="I50" s="23">
        <f>IFERROR(IF(A50&lt;='EMI Calculator'!B7,I49+E50,""),"")</f>
        <v/>
      </c>
    </row>
    <row r="51">
      <c r="A51" s="18" t="n">
        <v>48</v>
      </c>
      <c r="B51" s="19">
        <f>IFERROR(DATE(YEAR(B50),MONTH(B50)+1,DAY(B50)),"")</f>
        <v/>
      </c>
      <c r="C51" s="20">
        <f>IFERROR(IF(A51&lt;='EMI Calculator'!B7,G50,""),"")</f>
        <v/>
      </c>
      <c r="D51" s="20">
        <f>IFERROR(IF(A51&lt;='EMI Calculator'!B7,'EMI Calculator'!B11,""),"")</f>
        <v/>
      </c>
      <c r="E51" s="20">
        <f>IFERROR(IF(A51&lt;='EMI Calculator'!B7,D51-F51,""),"")</f>
        <v/>
      </c>
      <c r="F51" s="20">
        <f>IFERROR(IF(A51&lt;='EMI Calculator'!B7,C51*'EMI Calculator'!B6/12,""),"")</f>
        <v/>
      </c>
      <c r="G51" s="20">
        <f>IFERROR(IF(A51&lt;='EMI Calculator'!B7,MAX(C51-E51,0),""),"")</f>
        <v/>
      </c>
      <c r="H51" s="20">
        <f>IFERROR(IF(A51&lt;='EMI Calculator'!B7,H50+F51,""),"")</f>
        <v/>
      </c>
      <c r="I51" s="20">
        <f>IFERROR(IF(A51&lt;='EMI Calculator'!B7,I50+E51,""),"")</f>
        <v/>
      </c>
    </row>
    <row r="52">
      <c r="A52" s="21" t="n">
        <v>49</v>
      </c>
      <c r="B52" s="22">
        <f>IFERROR(DATE(YEAR(B51),MONTH(B51)+1,DAY(B51)),"")</f>
        <v/>
      </c>
      <c r="C52" s="23">
        <f>IFERROR(IF(A52&lt;='EMI Calculator'!B7,G51,""),"")</f>
        <v/>
      </c>
      <c r="D52" s="23">
        <f>IFERROR(IF(A52&lt;='EMI Calculator'!B7,'EMI Calculator'!B11,""),"")</f>
        <v/>
      </c>
      <c r="E52" s="23">
        <f>IFERROR(IF(A52&lt;='EMI Calculator'!B7,D52-F52,""),"")</f>
        <v/>
      </c>
      <c r="F52" s="23">
        <f>IFERROR(IF(A52&lt;='EMI Calculator'!B7,C52*'EMI Calculator'!B6/12,""),"")</f>
        <v/>
      </c>
      <c r="G52" s="23">
        <f>IFERROR(IF(A52&lt;='EMI Calculator'!B7,MAX(C52-E52,0),""),"")</f>
        <v/>
      </c>
      <c r="H52" s="23">
        <f>IFERROR(IF(A52&lt;='EMI Calculator'!B7,H51+F52,""),"")</f>
        <v/>
      </c>
      <c r="I52" s="23">
        <f>IFERROR(IF(A52&lt;='EMI Calculator'!B7,I51+E52,""),"")</f>
        <v/>
      </c>
    </row>
    <row r="53">
      <c r="A53" s="18" t="n">
        <v>50</v>
      </c>
      <c r="B53" s="19">
        <f>IFERROR(DATE(YEAR(B52),MONTH(B52)+1,DAY(B52)),"")</f>
        <v/>
      </c>
      <c r="C53" s="20">
        <f>IFERROR(IF(A53&lt;='EMI Calculator'!B7,G52,""),"")</f>
        <v/>
      </c>
      <c r="D53" s="20">
        <f>IFERROR(IF(A53&lt;='EMI Calculator'!B7,'EMI Calculator'!B11,""),"")</f>
        <v/>
      </c>
      <c r="E53" s="20">
        <f>IFERROR(IF(A53&lt;='EMI Calculator'!B7,D53-F53,""),"")</f>
        <v/>
      </c>
      <c r="F53" s="20">
        <f>IFERROR(IF(A53&lt;='EMI Calculator'!B7,C53*'EMI Calculator'!B6/12,""),"")</f>
        <v/>
      </c>
      <c r="G53" s="20">
        <f>IFERROR(IF(A53&lt;='EMI Calculator'!B7,MAX(C53-E53,0),""),"")</f>
        <v/>
      </c>
      <c r="H53" s="20">
        <f>IFERROR(IF(A53&lt;='EMI Calculator'!B7,H52+F53,""),"")</f>
        <v/>
      </c>
      <c r="I53" s="20">
        <f>IFERROR(IF(A53&lt;='EMI Calculator'!B7,I52+E53,""),"")</f>
        <v/>
      </c>
    </row>
    <row r="54">
      <c r="A54" s="21" t="n">
        <v>51</v>
      </c>
      <c r="B54" s="22">
        <f>IFERROR(DATE(YEAR(B53),MONTH(B53)+1,DAY(B53)),"")</f>
        <v/>
      </c>
      <c r="C54" s="23">
        <f>IFERROR(IF(A54&lt;='EMI Calculator'!B7,G53,""),"")</f>
        <v/>
      </c>
      <c r="D54" s="23">
        <f>IFERROR(IF(A54&lt;='EMI Calculator'!B7,'EMI Calculator'!B11,""),"")</f>
        <v/>
      </c>
      <c r="E54" s="23">
        <f>IFERROR(IF(A54&lt;='EMI Calculator'!B7,D54-F54,""),"")</f>
        <v/>
      </c>
      <c r="F54" s="23">
        <f>IFERROR(IF(A54&lt;='EMI Calculator'!B7,C54*'EMI Calculator'!B6/12,""),"")</f>
        <v/>
      </c>
      <c r="G54" s="23">
        <f>IFERROR(IF(A54&lt;='EMI Calculator'!B7,MAX(C54-E54,0),""),"")</f>
        <v/>
      </c>
      <c r="H54" s="23">
        <f>IFERROR(IF(A54&lt;='EMI Calculator'!B7,H53+F54,""),"")</f>
        <v/>
      </c>
      <c r="I54" s="23">
        <f>IFERROR(IF(A54&lt;='EMI Calculator'!B7,I53+E54,""),"")</f>
        <v/>
      </c>
    </row>
    <row r="55">
      <c r="A55" s="18" t="n">
        <v>52</v>
      </c>
      <c r="B55" s="19">
        <f>IFERROR(DATE(YEAR(B54),MONTH(B54)+1,DAY(B54)),"")</f>
        <v/>
      </c>
      <c r="C55" s="20">
        <f>IFERROR(IF(A55&lt;='EMI Calculator'!B7,G54,""),"")</f>
        <v/>
      </c>
      <c r="D55" s="20">
        <f>IFERROR(IF(A55&lt;='EMI Calculator'!B7,'EMI Calculator'!B11,""),"")</f>
        <v/>
      </c>
      <c r="E55" s="20">
        <f>IFERROR(IF(A55&lt;='EMI Calculator'!B7,D55-F55,""),"")</f>
        <v/>
      </c>
      <c r="F55" s="20">
        <f>IFERROR(IF(A55&lt;='EMI Calculator'!B7,C55*'EMI Calculator'!B6/12,""),"")</f>
        <v/>
      </c>
      <c r="G55" s="20">
        <f>IFERROR(IF(A55&lt;='EMI Calculator'!B7,MAX(C55-E55,0),""),"")</f>
        <v/>
      </c>
      <c r="H55" s="20">
        <f>IFERROR(IF(A55&lt;='EMI Calculator'!B7,H54+F55,""),"")</f>
        <v/>
      </c>
      <c r="I55" s="20">
        <f>IFERROR(IF(A55&lt;='EMI Calculator'!B7,I54+E55,""),"")</f>
        <v/>
      </c>
    </row>
    <row r="56">
      <c r="A56" s="21" t="n">
        <v>53</v>
      </c>
      <c r="B56" s="22">
        <f>IFERROR(DATE(YEAR(B55),MONTH(B55)+1,DAY(B55)),"")</f>
        <v/>
      </c>
      <c r="C56" s="23">
        <f>IFERROR(IF(A56&lt;='EMI Calculator'!B7,G55,""),"")</f>
        <v/>
      </c>
      <c r="D56" s="23">
        <f>IFERROR(IF(A56&lt;='EMI Calculator'!B7,'EMI Calculator'!B11,""),"")</f>
        <v/>
      </c>
      <c r="E56" s="23">
        <f>IFERROR(IF(A56&lt;='EMI Calculator'!B7,D56-F56,""),"")</f>
        <v/>
      </c>
      <c r="F56" s="23">
        <f>IFERROR(IF(A56&lt;='EMI Calculator'!B7,C56*'EMI Calculator'!B6/12,""),"")</f>
        <v/>
      </c>
      <c r="G56" s="23">
        <f>IFERROR(IF(A56&lt;='EMI Calculator'!B7,MAX(C56-E56,0),""),"")</f>
        <v/>
      </c>
      <c r="H56" s="23">
        <f>IFERROR(IF(A56&lt;='EMI Calculator'!B7,H55+F56,""),"")</f>
        <v/>
      </c>
      <c r="I56" s="23">
        <f>IFERROR(IF(A56&lt;='EMI Calculator'!B7,I55+E56,""),"")</f>
        <v/>
      </c>
    </row>
    <row r="57">
      <c r="A57" s="18" t="n">
        <v>54</v>
      </c>
      <c r="B57" s="19">
        <f>IFERROR(DATE(YEAR(B56),MONTH(B56)+1,DAY(B56)),"")</f>
        <v/>
      </c>
      <c r="C57" s="20">
        <f>IFERROR(IF(A57&lt;='EMI Calculator'!B7,G56,""),"")</f>
        <v/>
      </c>
      <c r="D57" s="20">
        <f>IFERROR(IF(A57&lt;='EMI Calculator'!B7,'EMI Calculator'!B11,""),"")</f>
        <v/>
      </c>
      <c r="E57" s="20">
        <f>IFERROR(IF(A57&lt;='EMI Calculator'!B7,D57-F57,""),"")</f>
        <v/>
      </c>
      <c r="F57" s="20">
        <f>IFERROR(IF(A57&lt;='EMI Calculator'!B7,C57*'EMI Calculator'!B6/12,""),"")</f>
        <v/>
      </c>
      <c r="G57" s="20">
        <f>IFERROR(IF(A57&lt;='EMI Calculator'!B7,MAX(C57-E57,0),""),"")</f>
        <v/>
      </c>
      <c r="H57" s="20">
        <f>IFERROR(IF(A57&lt;='EMI Calculator'!B7,H56+F57,""),"")</f>
        <v/>
      </c>
      <c r="I57" s="20">
        <f>IFERROR(IF(A57&lt;='EMI Calculator'!B7,I56+E57,""),"")</f>
        <v/>
      </c>
    </row>
    <row r="58">
      <c r="A58" s="21" t="n">
        <v>55</v>
      </c>
      <c r="B58" s="22">
        <f>IFERROR(DATE(YEAR(B57),MONTH(B57)+1,DAY(B57)),"")</f>
        <v/>
      </c>
      <c r="C58" s="23">
        <f>IFERROR(IF(A58&lt;='EMI Calculator'!B7,G57,""),"")</f>
        <v/>
      </c>
      <c r="D58" s="23">
        <f>IFERROR(IF(A58&lt;='EMI Calculator'!B7,'EMI Calculator'!B11,""),"")</f>
        <v/>
      </c>
      <c r="E58" s="23">
        <f>IFERROR(IF(A58&lt;='EMI Calculator'!B7,D58-F58,""),"")</f>
        <v/>
      </c>
      <c r="F58" s="23">
        <f>IFERROR(IF(A58&lt;='EMI Calculator'!B7,C58*'EMI Calculator'!B6/12,""),"")</f>
        <v/>
      </c>
      <c r="G58" s="23">
        <f>IFERROR(IF(A58&lt;='EMI Calculator'!B7,MAX(C58-E58,0),""),"")</f>
        <v/>
      </c>
      <c r="H58" s="23">
        <f>IFERROR(IF(A58&lt;='EMI Calculator'!B7,H57+F58,""),"")</f>
        <v/>
      </c>
      <c r="I58" s="23">
        <f>IFERROR(IF(A58&lt;='EMI Calculator'!B7,I57+E58,""),"")</f>
        <v/>
      </c>
    </row>
    <row r="59">
      <c r="A59" s="18" t="n">
        <v>56</v>
      </c>
      <c r="B59" s="19">
        <f>IFERROR(DATE(YEAR(B58),MONTH(B58)+1,DAY(B58)),"")</f>
        <v/>
      </c>
      <c r="C59" s="20">
        <f>IFERROR(IF(A59&lt;='EMI Calculator'!B7,G58,""),"")</f>
        <v/>
      </c>
      <c r="D59" s="20">
        <f>IFERROR(IF(A59&lt;='EMI Calculator'!B7,'EMI Calculator'!B11,""),"")</f>
        <v/>
      </c>
      <c r="E59" s="20">
        <f>IFERROR(IF(A59&lt;='EMI Calculator'!B7,D59-F59,""),"")</f>
        <v/>
      </c>
      <c r="F59" s="20">
        <f>IFERROR(IF(A59&lt;='EMI Calculator'!B7,C59*'EMI Calculator'!B6/12,""),"")</f>
        <v/>
      </c>
      <c r="G59" s="20">
        <f>IFERROR(IF(A59&lt;='EMI Calculator'!B7,MAX(C59-E59,0),""),"")</f>
        <v/>
      </c>
      <c r="H59" s="20">
        <f>IFERROR(IF(A59&lt;='EMI Calculator'!B7,H58+F59,""),"")</f>
        <v/>
      </c>
      <c r="I59" s="20">
        <f>IFERROR(IF(A59&lt;='EMI Calculator'!B7,I58+E59,""),"")</f>
        <v/>
      </c>
    </row>
    <row r="60">
      <c r="A60" s="21" t="n">
        <v>57</v>
      </c>
      <c r="B60" s="22">
        <f>IFERROR(DATE(YEAR(B59),MONTH(B59)+1,DAY(B59)),"")</f>
        <v/>
      </c>
      <c r="C60" s="23">
        <f>IFERROR(IF(A60&lt;='EMI Calculator'!B7,G59,""),"")</f>
        <v/>
      </c>
      <c r="D60" s="23">
        <f>IFERROR(IF(A60&lt;='EMI Calculator'!B7,'EMI Calculator'!B11,""),"")</f>
        <v/>
      </c>
      <c r="E60" s="23">
        <f>IFERROR(IF(A60&lt;='EMI Calculator'!B7,D60-F60,""),"")</f>
        <v/>
      </c>
      <c r="F60" s="23">
        <f>IFERROR(IF(A60&lt;='EMI Calculator'!B7,C60*'EMI Calculator'!B6/12,""),"")</f>
        <v/>
      </c>
      <c r="G60" s="23">
        <f>IFERROR(IF(A60&lt;='EMI Calculator'!B7,MAX(C60-E60,0),""),"")</f>
        <v/>
      </c>
      <c r="H60" s="23">
        <f>IFERROR(IF(A60&lt;='EMI Calculator'!B7,H59+F60,""),"")</f>
        <v/>
      </c>
      <c r="I60" s="23">
        <f>IFERROR(IF(A60&lt;='EMI Calculator'!B7,I59+E60,""),"")</f>
        <v/>
      </c>
    </row>
    <row r="61">
      <c r="A61" s="18" t="n">
        <v>58</v>
      </c>
      <c r="B61" s="19">
        <f>IFERROR(DATE(YEAR(B60),MONTH(B60)+1,DAY(B60)),"")</f>
        <v/>
      </c>
      <c r="C61" s="20">
        <f>IFERROR(IF(A61&lt;='EMI Calculator'!B7,G60,""),"")</f>
        <v/>
      </c>
      <c r="D61" s="20">
        <f>IFERROR(IF(A61&lt;='EMI Calculator'!B7,'EMI Calculator'!B11,""),"")</f>
        <v/>
      </c>
      <c r="E61" s="20">
        <f>IFERROR(IF(A61&lt;='EMI Calculator'!B7,D61-F61,""),"")</f>
        <v/>
      </c>
      <c r="F61" s="20">
        <f>IFERROR(IF(A61&lt;='EMI Calculator'!B7,C61*'EMI Calculator'!B6/12,""),"")</f>
        <v/>
      </c>
      <c r="G61" s="20">
        <f>IFERROR(IF(A61&lt;='EMI Calculator'!B7,MAX(C61-E61,0),""),"")</f>
        <v/>
      </c>
      <c r="H61" s="20">
        <f>IFERROR(IF(A61&lt;='EMI Calculator'!B7,H60+F61,""),"")</f>
        <v/>
      </c>
      <c r="I61" s="20">
        <f>IFERROR(IF(A61&lt;='EMI Calculator'!B7,I60+E61,""),"")</f>
        <v/>
      </c>
    </row>
    <row r="62">
      <c r="A62" s="21" t="n">
        <v>59</v>
      </c>
      <c r="B62" s="22">
        <f>IFERROR(DATE(YEAR(B61),MONTH(B61)+1,DAY(B61)),"")</f>
        <v/>
      </c>
      <c r="C62" s="23">
        <f>IFERROR(IF(A62&lt;='EMI Calculator'!B7,G61,""),"")</f>
        <v/>
      </c>
      <c r="D62" s="23">
        <f>IFERROR(IF(A62&lt;='EMI Calculator'!B7,'EMI Calculator'!B11,""),"")</f>
        <v/>
      </c>
      <c r="E62" s="23">
        <f>IFERROR(IF(A62&lt;='EMI Calculator'!B7,D62-F62,""),"")</f>
        <v/>
      </c>
      <c r="F62" s="23">
        <f>IFERROR(IF(A62&lt;='EMI Calculator'!B7,C62*'EMI Calculator'!B6/12,""),"")</f>
        <v/>
      </c>
      <c r="G62" s="23">
        <f>IFERROR(IF(A62&lt;='EMI Calculator'!B7,MAX(C62-E62,0),""),"")</f>
        <v/>
      </c>
      <c r="H62" s="23">
        <f>IFERROR(IF(A62&lt;='EMI Calculator'!B7,H61+F62,""),"")</f>
        <v/>
      </c>
      <c r="I62" s="23">
        <f>IFERROR(IF(A62&lt;='EMI Calculator'!B7,I61+E62,""),"")</f>
        <v/>
      </c>
    </row>
    <row r="63">
      <c r="A63" s="18" t="n">
        <v>60</v>
      </c>
      <c r="B63" s="19">
        <f>IFERROR(DATE(YEAR(B62),MONTH(B62)+1,DAY(B62)),"")</f>
        <v/>
      </c>
      <c r="C63" s="20">
        <f>IFERROR(IF(A63&lt;='EMI Calculator'!B7,G62,""),"")</f>
        <v/>
      </c>
      <c r="D63" s="20">
        <f>IFERROR(IF(A63&lt;='EMI Calculator'!B7,'EMI Calculator'!B11,""),"")</f>
        <v/>
      </c>
      <c r="E63" s="20">
        <f>IFERROR(IF(A63&lt;='EMI Calculator'!B7,D63-F63,""),"")</f>
        <v/>
      </c>
      <c r="F63" s="20">
        <f>IFERROR(IF(A63&lt;='EMI Calculator'!B7,C63*'EMI Calculator'!B6/12,""),"")</f>
        <v/>
      </c>
      <c r="G63" s="20">
        <f>IFERROR(IF(A63&lt;='EMI Calculator'!B7,MAX(C63-E63,0),""),"")</f>
        <v/>
      </c>
      <c r="H63" s="20">
        <f>IFERROR(IF(A63&lt;='EMI Calculator'!B7,H62+F63,""),"")</f>
        <v/>
      </c>
      <c r="I63" s="20">
        <f>IFERROR(IF(A63&lt;='EMI Calculator'!B7,I62+E63,""),"")</f>
        <v/>
      </c>
    </row>
    <row r="64">
      <c r="A64" s="21" t="n">
        <v>61</v>
      </c>
      <c r="B64" s="22">
        <f>IFERROR(DATE(YEAR(B63),MONTH(B63)+1,DAY(B63)),"")</f>
        <v/>
      </c>
      <c r="C64" s="23">
        <f>IFERROR(IF(A64&lt;='EMI Calculator'!B7,G63,""),"")</f>
        <v/>
      </c>
      <c r="D64" s="23">
        <f>IFERROR(IF(A64&lt;='EMI Calculator'!B7,'EMI Calculator'!B11,""),"")</f>
        <v/>
      </c>
      <c r="E64" s="23">
        <f>IFERROR(IF(A64&lt;='EMI Calculator'!B7,D64-F64,""),"")</f>
        <v/>
      </c>
      <c r="F64" s="23">
        <f>IFERROR(IF(A64&lt;='EMI Calculator'!B7,C64*'EMI Calculator'!B6/12,""),"")</f>
        <v/>
      </c>
      <c r="G64" s="23">
        <f>IFERROR(IF(A64&lt;='EMI Calculator'!B7,MAX(C64-E64,0),""),"")</f>
        <v/>
      </c>
      <c r="H64" s="23">
        <f>IFERROR(IF(A64&lt;='EMI Calculator'!B7,H63+F64,""),"")</f>
        <v/>
      </c>
      <c r="I64" s="23">
        <f>IFERROR(IF(A64&lt;='EMI Calculator'!B7,I63+E64,""),"")</f>
        <v/>
      </c>
    </row>
    <row r="65">
      <c r="A65" s="18" t="n">
        <v>62</v>
      </c>
      <c r="B65" s="19">
        <f>IFERROR(DATE(YEAR(B64),MONTH(B64)+1,DAY(B64)),"")</f>
        <v/>
      </c>
      <c r="C65" s="20">
        <f>IFERROR(IF(A65&lt;='EMI Calculator'!B7,G64,""),"")</f>
        <v/>
      </c>
      <c r="D65" s="20">
        <f>IFERROR(IF(A65&lt;='EMI Calculator'!B7,'EMI Calculator'!B11,""),"")</f>
        <v/>
      </c>
      <c r="E65" s="20">
        <f>IFERROR(IF(A65&lt;='EMI Calculator'!B7,D65-F65,""),"")</f>
        <v/>
      </c>
      <c r="F65" s="20">
        <f>IFERROR(IF(A65&lt;='EMI Calculator'!B7,C65*'EMI Calculator'!B6/12,""),"")</f>
        <v/>
      </c>
      <c r="G65" s="20">
        <f>IFERROR(IF(A65&lt;='EMI Calculator'!B7,MAX(C65-E65,0),""),"")</f>
        <v/>
      </c>
      <c r="H65" s="20">
        <f>IFERROR(IF(A65&lt;='EMI Calculator'!B7,H64+F65,""),"")</f>
        <v/>
      </c>
      <c r="I65" s="20">
        <f>IFERROR(IF(A65&lt;='EMI Calculator'!B7,I64+E65,""),"")</f>
        <v/>
      </c>
    </row>
    <row r="66">
      <c r="A66" s="21" t="n">
        <v>63</v>
      </c>
      <c r="B66" s="22">
        <f>IFERROR(DATE(YEAR(B65),MONTH(B65)+1,DAY(B65)),"")</f>
        <v/>
      </c>
      <c r="C66" s="23">
        <f>IFERROR(IF(A66&lt;='EMI Calculator'!B7,G65,""),"")</f>
        <v/>
      </c>
      <c r="D66" s="23">
        <f>IFERROR(IF(A66&lt;='EMI Calculator'!B7,'EMI Calculator'!B11,""),"")</f>
        <v/>
      </c>
      <c r="E66" s="23">
        <f>IFERROR(IF(A66&lt;='EMI Calculator'!B7,D66-F66,""),"")</f>
        <v/>
      </c>
      <c r="F66" s="23">
        <f>IFERROR(IF(A66&lt;='EMI Calculator'!B7,C66*'EMI Calculator'!B6/12,""),"")</f>
        <v/>
      </c>
      <c r="G66" s="23">
        <f>IFERROR(IF(A66&lt;='EMI Calculator'!B7,MAX(C66-E66,0),""),"")</f>
        <v/>
      </c>
      <c r="H66" s="23">
        <f>IFERROR(IF(A66&lt;='EMI Calculator'!B7,H65+F66,""),"")</f>
        <v/>
      </c>
      <c r="I66" s="23">
        <f>IFERROR(IF(A66&lt;='EMI Calculator'!B7,I65+E66,""),"")</f>
        <v/>
      </c>
    </row>
    <row r="67">
      <c r="A67" s="18" t="n">
        <v>64</v>
      </c>
      <c r="B67" s="19">
        <f>IFERROR(DATE(YEAR(B66),MONTH(B66)+1,DAY(B66)),"")</f>
        <v/>
      </c>
      <c r="C67" s="20">
        <f>IFERROR(IF(A67&lt;='EMI Calculator'!B7,G66,""),"")</f>
        <v/>
      </c>
      <c r="D67" s="20">
        <f>IFERROR(IF(A67&lt;='EMI Calculator'!B7,'EMI Calculator'!B11,""),"")</f>
        <v/>
      </c>
      <c r="E67" s="20">
        <f>IFERROR(IF(A67&lt;='EMI Calculator'!B7,D67-F67,""),"")</f>
        <v/>
      </c>
      <c r="F67" s="20">
        <f>IFERROR(IF(A67&lt;='EMI Calculator'!B7,C67*'EMI Calculator'!B6/12,""),"")</f>
        <v/>
      </c>
      <c r="G67" s="20">
        <f>IFERROR(IF(A67&lt;='EMI Calculator'!B7,MAX(C67-E67,0),""),"")</f>
        <v/>
      </c>
      <c r="H67" s="20">
        <f>IFERROR(IF(A67&lt;='EMI Calculator'!B7,H66+F67,""),"")</f>
        <v/>
      </c>
      <c r="I67" s="20">
        <f>IFERROR(IF(A67&lt;='EMI Calculator'!B7,I66+E67,""),"")</f>
        <v/>
      </c>
    </row>
    <row r="68">
      <c r="A68" s="21" t="n">
        <v>65</v>
      </c>
      <c r="B68" s="22">
        <f>IFERROR(DATE(YEAR(B67),MONTH(B67)+1,DAY(B67)),"")</f>
        <v/>
      </c>
      <c r="C68" s="23">
        <f>IFERROR(IF(A68&lt;='EMI Calculator'!B7,G67,""),"")</f>
        <v/>
      </c>
      <c r="D68" s="23">
        <f>IFERROR(IF(A68&lt;='EMI Calculator'!B7,'EMI Calculator'!B11,""),"")</f>
        <v/>
      </c>
      <c r="E68" s="23">
        <f>IFERROR(IF(A68&lt;='EMI Calculator'!B7,D68-F68,""),"")</f>
        <v/>
      </c>
      <c r="F68" s="23">
        <f>IFERROR(IF(A68&lt;='EMI Calculator'!B7,C68*'EMI Calculator'!B6/12,""),"")</f>
        <v/>
      </c>
      <c r="G68" s="23">
        <f>IFERROR(IF(A68&lt;='EMI Calculator'!B7,MAX(C68-E68,0),""),"")</f>
        <v/>
      </c>
      <c r="H68" s="23">
        <f>IFERROR(IF(A68&lt;='EMI Calculator'!B7,H67+F68,""),"")</f>
        <v/>
      </c>
      <c r="I68" s="23">
        <f>IFERROR(IF(A68&lt;='EMI Calculator'!B7,I67+E68,""),"")</f>
        <v/>
      </c>
    </row>
    <row r="69">
      <c r="A69" s="18" t="n">
        <v>66</v>
      </c>
      <c r="B69" s="19">
        <f>IFERROR(DATE(YEAR(B68),MONTH(B68)+1,DAY(B68)),"")</f>
        <v/>
      </c>
      <c r="C69" s="20">
        <f>IFERROR(IF(A69&lt;='EMI Calculator'!B7,G68,""),"")</f>
        <v/>
      </c>
      <c r="D69" s="20">
        <f>IFERROR(IF(A69&lt;='EMI Calculator'!B7,'EMI Calculator'!B11,""),"")</f>
        <v/>
      </c>
      <c r="E69" s="20">
        <f>IFERROR(IF(A69&lt;='EMI Calculator'!B7,D69-F69,""),"")</f>
        <v/>
      </c>
      <c r="F69" s="20">
        <f>IFERROR(IF(A69&lt;='EMI Calculator'!B7,C69*'EMI Calculator'!B6/12,""),"")</f>
        <v/>
      </c>
      <c r="G69" s="20">
        <f>IFERROR(IF(A69&lt;='EMI Calculator'!B7,MAX(C69-E69,0),""),"")</f>
        <v/>
      </c>
      <c r="H69" s="20">
        <f>IFERROR(IF(A69&lt;='EMI Calculator'!B7,H68+F69,""),"")</f>
        <v/>
      </c>
      <c r="I69" s="20">
        <f>IFERROR(IF(A69&lt;='EMI Calculator'!B7,I68+E69,""),"")</f>
        <v/>
      </c>
    </row>
    <row r="70">
      <c r="A70" s="21" t="n">
        <v>67</v>
      </c>
      <c r="B70" s="22">
        <f>IFERROR(DATE(YEAR(B69),MONTH(B69)+1,DAY(B69)),"")</f>
        <v/>
      </c>
      <c r="C70" s="23">
        <f>IFERROR(IF(A70&lt;='EMI Calculator'!B7,G69,""),"")</f>
        <v/>
      </c>
      <c r="D70" s="23">
        <f>IFERROR(IF(A70&lt;='EMI Calculator'!B7,'EMI Calculator'!B11,""),"")</f>
        <v/>
      </c>
      <c r="E70" s="23">
        <f>IFERROR(IF(A70&lt;='EMI Calculator'!B7,D70-F70,""),"")</f>
        <v/>
      </c>
      <c r="F70" s="23">
        <f>IFERROR(IF(A70&lt;='EMI Calculator'!B7,C70*'EMI Calculator'!B6/12,""),"")</f>
        <v/>
      </c>
      <c r="G70" s="23">
        <f>IFERROR(IF(A70&lt;='EMI Calculator'!B7,MAX(C70-E70,0),""),"")</f>
        <v/>
      </c>
      <c r="H70" s="23">
        <f>IFERROR(IF(A70&lt;='EMI Calculator'!B7,H69+F70,""),"")</f>
        <v/>
      </c>
      <c r="I70" s="23">
        <f>IFERROR(IF(A70&lt;='EMI Calculator'!B7,I69+E70,""),"")</f>
        <v/>
      </c>
    </row>
    <row r="71">
      <c r="A71" s="18" t="n">
        <v>68</v>
      </c>
      <c r="B71" s="19">
        <f>IFERROR(DATE(YEAR(B70),MONTH(B70)+1,DAY(B70)),"")</f>
        <v/>
      </c>
      <c r="C71" s="20">
        <f>IFERROR(IF(A71&lt;='EMI Calculator'!B7,G70,""),"")</f>
        <v/>
      </c>
      <c r="D71" s="20">
        <f>IFERROR(IF(A71&lt;='EMI Calculator'!B7,'EMI Calculator'!B11,""),"")</f>
        <v/>
      </c>
      <c r="E71" s="20">
        <f>IFERROR(IF(A71&lt;='EMI Calculator'!B7,D71-F71,""),"")</f>
        <v/>
      </c>
      <c r="F71" s="20">
        <f>IFERROR(IF(A71&lt;='EMI Calculator'!B7,C71*'EMI Calculator'!B6/12,""),"")</f>
        <v/>
      </c>
      <c r="G71" s="20">
        <f>IFERROR(IF(A71&lt;='EMI Calculator'!B7,MAX(C71-E71,0),""),"")</f>
        <v/>
      </c>
      <c r="H71" s="20">
        <f>IFERROR(IF(A71&lt;='EMI Calculator'!B7,H70+F71,""),"")</f>
        <v/>
      </c>
      <c r="I71" s="20">
        <f>IFERROR(IF(A71&lt;='EMI Calculator'!B7,I70+E71,""),"")</f>
        <v/>
      </c>
    </row>
    <row r="72">
      <c r="A72" s="21" t="n">
        <v>69</v>
      </c>
      <c r="B72" s="22">
        <f>IFERROR(DATE(YEAR(B71),MONTH(B71)+1,DAY(B71)),"")</f>
        <v/>
      </c>
      <c r="C72" s="23">
        <f>IFERROR(IF(A72&lt;='EMI Calculator'!B7,G71,""),"")</f>
        <v/>
      </c>
      <c r="D72" s="23">
        <f>IFERROR(IF(A72&lt;='EMI Calculator'!B7,'EMI Calculator'!B11,""),"")</f>
        <v/>
      </c>
      <c r="E72" s="23">
        <f>IFERROR(IF(A72&lt;='EMI Calculator'!B7,D72-F72,""),"")</f>
        <v/>
      </c>
      <c r="F72" s="23">
        <f>IFERROR(IF(A72&lt;='EMI Calculator'!B7,C72*'EMI Calculator'!B6/12,""),"")</f>
        <v/>
      </c>
      <c r="G72" s="23">
        <f>IFERROR(IF(A72&lt;='EMI Calculator'!B7,MAX(C72-E72,0),""),"")</f>
        <v/>
      </c>
      <c r="H72" s="23">
        <f>IFERROR(IF(A72&lt;='EMI Calculator'!B7,H71+F72,""),"")</f>
        <v/>
      </c>
      <c r="I72" s="23">
        <f>IFERROR(IF(A72&lt;='EMI Calculator'!B7,I71+E72,""),"")</f>
        <v/>
      </c>
    </row>
    <row r="73">
      <c r="A73" s="18" t="n">
        <v>70</v>
      </c>
      <c r="B73" s="19">
        <f>IFERROR(DATE(YEAR(B72),MONTH(B72)+1,DAY(B72)),"")</f>
        <v/>
      </c>
      <c r="C73" s="20">
        <f>IFERROR(IF(A73&lt;='EMI Calculator'!B7,G72,""),"")</f>
        <v/>
      </c>
      <c r="D73" s="20">
        <f>IFERROR(IF(A73&lt;='EMI Calculator'!B7,'EMI Calculator'!B11,""),"")</f>
        <v/>
      </c>
      <c r="E73" s="20">
        <f>IFERROR(IF(A73&lt;='EMI Calculator'!B7,D73-F73,""),"")</f>
        <v/>
      </c>
      <c r="F73" s="20">
        <f>IFERROR(IF(A73&lt;='EMI Calculator'!B7,C73*'EMI Calculator'!B6/12,""),"")</f>
        <v/>
      </c>
      <c r="G73" s="20">
        <f>IFERROR(IF(A73&lt;='EMI Calculator'!B7,MAX(C73-E73,0),""),"")</f>
        <v/>
      </c>
      <c r="H73" s="20">
        <f>IFERROR(IF(A73&lt;='EMI Calculator'!B7,H72+F73,""),"")</f>
        <v/>
      </c>
      <c r="I73" s="20">
        <f>IFERROR(IF(A73&lt;='EMI Calculator'!B7,I72+E73,""),"")</f>
        <v/>
      </c>
    </row>
    <row r="74">
      <c r="A74" s="21" t="n">
        <v>71</v>
      </c>
      <c r="B74" s="22">
        <f>IFERROR(DATE(YEAR(B73),MONTH(B73)+1,DAY(B73)),"")</f>
        <v/>
      </c>
      <c r="C74" s="23">
        <f>IFERROR(IF(A74&lt;='EMI Calculator'!B7,G73,""),"")</f>
        <v/>
      </c>
      <c r="D74" s="23">
        <f>IFERROR(IF(A74&lt;='EMI Calculator'!B7,'EMI Calculator'!B11,""),"")</f>
        <v/>
      </c>
      <c r="E74" s="23">
        <f>IFERROR(IF(A74&lt;='EMI Calculator'!B7,D74-F74,""),"")</f>
        <v/>
      </c>
      <c r="F74" s="23">
        <f>IFERROR(IF(A74&lt;='EMI Calculator'!B7,C74*'EMI Calculator'!B6/12,""),"")</f>
        <v/>
      </c>
      <c r="G74" s="23">
        <f>IFERROR(IF(A74&lt;='EMI Calculator'!B7,MAX(C74-E74,0),""),"")</f>
        <v/>
      </c>
      <c r="H74" s="23">
        <f>IFERROR(IF(A74&lt;='EMI Calculator'!B7,H73+F74,""),"")</f>
        <v/>
      </c>
      <c r="I74" s="23">
        <f>IFERROR(IF(A74&lt;='EMI Calculator'!B7,I73+E74,""),"")</f>
        <v/>
      </c>
    </row>
    <row r="75">
      <c r="A75" s="18" t="n">
        <v>72</v>
      </c>
      <c r="B75" s="19">
        <f>IFERROR(DATE(YEAR(B74),MONTH(B74)+1,DAY(B74)),"")</f>
        <v/>
      </c>
      <c r="C75" s="20">
        <f>IFERROR(IF(A75&lt;='EMI Calculator'!B7,G74,""),"")</f>
        <v/>
      </c>
      <c r="D75" s="20">
        <f>IFERROR(IF(A75&lt;='EMI Calculator'!B7,'EMI Calculator'!B11,""),"")</f>
        <v/>
      </c>
      <c r="E75" s="20">
        <f>IFERROR(IF(A75&lt;='EMI Calculator'!B7,D75-F75,""),"")</f>
        <v/>
      </c>
      <c r="F75" s="20">
        <f>IFERROR(IF(A75&lt;='EMI Calculator'!B7,C75*'EMI Calculator'!B6/12,""),"")</f>
        <v/>
      </c>
      <c r="G75" s="20">
        <f>IFERROR(IF(A75&lt;='EMI Calculator'!B7,MAX(C75-E75,0),""),"")</f>
        <v/>
      </c>
      <c r="H75" s="20">
        <f>IFERROR(IF(A75&lt;='EMI Calculator'!B7,H74+F75,""),"")</f>
        <v/>
      </c>
      <c r="I75" s="20">
        <f>IFERROR(IF(A75&lt;='EMI Calculator'!B7,I74+E75,""),"")</f>
        <v/>
      </c>
    </row>
    <row r="76">
      <c r="A76" s="21" t="n">
        <v>73</v>
      </c>
      <c r="B76" s="22">
        <f>IFERROR(DATE(YEAR(B75),MONTH(B75)+1,DAY(B75)),"")</f>
        <v/>
      </c>
      <c r="C76" s="23">
        <f>IFERROR(IF(A76&lt;='EMI Calculator'!B7,G75,""),"")</f>
        <v/>
      </c>
      <c r="D76" s="23">
        <f>IFERROR(IF(A76&lt;='EMI Calculator'!B7,'EMI Calculator'!B11,""),"")</f>
        <v/>
      </c>
      <c r="E76" s="23">
        <f>IFERROR(IF(A76&lt;='EMI Calculator'!B7,D76-F76,""),"")</f>
        <v/>
      </c>
      <c r="F76" s="23">
        <f>IFERROR(IF(A76&lt;='EMI Calculator'!B7,C76*'EMI Calculator'!B6/12,""),"")</f>
        <v/>
      </c>
      <c r="G76" s="23">
        <f>IFERROR(IF(A76&lt;='EMI Calculator'!B7,MAX(C76-E76,0),""),"")</f>
        <v/>
      </c>
      <c r="H76" s="23">
        <f>IFERROR(IF(A76&lt;='EMI Calculator'!B7,H75+F76,""),"")</f>
        <v/>
      </c>
      <c r="I76" s="23">
        <f>IFERROR(IF(A76&lt;='EMI Calculator'!B7,I75+E76,""),"")</f>
        <v/>
      </c>
    </row>
    <row r="77">
      <c r="A77" s="18" t="n">
        <v>74</v>
      </c>
      <c r="B77" s="19">
        <f>IFERROR(DATE(YEAR(B76),MONTH(B76)+1,DAY(B76)),"")</f>
        <v/>
      </c>
      <c r="C77" s="20">
        <f>IFERROR(IF(A77&lt;='EMI Calculator'!B7,G76,""),"")</f>
        <v/>
      </c>
      <c r="D77" s="20">
        <f>IFERROR(IF(A77&lt;='EMI Calculator'!B7,'EMI Calculator'!B11,""),"")</f>
        <v/>
      </c>
      <c r="E77" s="20">
        <f>IFERROR(IF(A77&lt;='EMI Calculator'!B7,D77-F77,""),"")</f>
        <v/>
      </c>
      <c r="F77" s="20">
        <f>IFERROR(IF(A77&lt;='EMI Calculator'!B7,C77*'EMI Calculator'!B6/12,""),"")</f>
        <v/>
      </c>
      <c r="G77" s="20">
        <f>IFERROR(IF(A77&lt;='EMI Calculator'!B7,MAX(C77-E77,0),""),"")</f>
        <v/>
      </c>
      <c r="H77" s="20">
        <f>IFERROR(IF(A77&lt;='EMI Calculator'!B7,H76+F77,""),"")</f>
        <v/>
      </c>
      <c r="I77" s="20">
        <f>IFERROR(IF(A77&lt;='EMI Calculator'!B7,I76+E77,""),"")</f>
        <v/>
      </c>
    </row>
    <row r="78">
      <c r="A78" s="21" t="n">
        <v>75</v>
      </c>
      <c r="B78" s="22">
        <f>IFERROR(DATE(YEAR(B77),MONTH(B77)+1,DAY(B77)),"")</f>
        <v/>
      </c>
      <c r="C78" s="23">
        <f>IFERROR(IF(A78&lt;='EMI Calculator'!B7,G77,""),"")</f>
        <v/>
      </c>
      <c r="D78" s="23">
        <f>IFERROR(IF(A78&lt;='EMI Calculator'!B7,'EMI Calculator'!B11,""),"")</f>
        <v/>
      </c>
      <c r="E78" s="23">
        <f>IFERROR(IF(A78&lt;='EMI Calculator'!B7,D78-F78,""),"")</f>
        <v/>
      </c>
      <c r="F78" s="23">
        <f>IFERROR(IF(A78&lt;='EMI Calculator'!B7,C78*'EMI Calculator'!B6/12,""),"")</f>
        <v/>
      </c>
      <c r="G78" s="23">
        <f>IFERROR(IF(A78&lt;='EMI Calculator'!B7,MAX(C78-E78,0),""),"")</f>
        <v/>
      </c>
      <c r="H78" s="23">
        <f>IFERROR(IF(A78&lt;='EMI Calculator'!B7,H77+F78,""),"")</f>
        <v/>
      </c>
      <c r="I78" s="23">
        <f>IFERROR(IF(A78&lt;='EMI Calculator'!B7,I77+E78,""),"")</f>
        <v/>
      </c>
    </row>
    <row r="79">
      <c r="A79" s="18" t="n">
        <v>76</v>
      </c>
      <c r="B79" s="19">
        <f>IFERROR(DATE(YEAR(B78),MONTH(B78)+1,DAY(B78)),"")</f>
        <v/>
      </c>
      <c r="C79" s="20">
        <f>IFERROR(IF(A79&lt;='EMI Calculator'!B7,G78,""),"")</f>
        <v/>
      </c>
      <c r="D79" s="20">
        <f>IFERROR(IF(A79&lt;='EMI Calculator'!B7,'EMI Calculator'!B11,""),"")</f>
        <v/>
      </c>
      <c r="E79" s="20">
        <f>IFERROR(IF(A79&lt;='EMI Calculator'!B7,D79-F79,""),"")</f>
        <v/>
      </c>
      <c r="F79" s="20">
        <f>IFERROR(IF(A79&lt;='EMI Calculator'!B7,C79*'EMI Calculator'!B6/12,""),"")</f>
        <v/>
      </c>
      <c r="G79" s="20">
        <f>IFERROR(IF(A79&lt;='EMI Calculator'!B7,MAX(C79-E79,0),""),"")</f>
        <v/>
      </c>
      <c r="H79" s="20">
        <f>IFERROR(IF(A79&lt;='EMI Calculator'!B7,H78+F79,""),"")</f>
        <v/>
      </c>
      <c r="I79" s="20">
        <f>IFERROR(IF(A79&lt;='EMI Calculator'!B7,I78+E79,""),"")</f>
        <v/>
      </c>
    </row>
    <row r="80">
      <c r="A80" s="21" t="n">
        <v>77</v>
      </c>
      <c r="B80" s="22">
        <f>IFERROR(DATE(YEAR(B79),MONTH(B79)+1,DAY(B79)),"")</f>
        <v/>
      </c>
      <c r="C80" s="23">
        <f>IFERROR(IF(A80&lt;='EMI Calculator'!B7,G79,""),"")</f>
        <v/>
      </c>
      <c r="D80" s="23">
        <f>IFERROR(IF(A80&lt;='EMI Calculator'!B7,'EMI Calculator'!B11,""),"")</f>
        <v/>
      </c>
      <c r="E80" s="23">
        <f>IFERROR(IF(A80&lt;='EMI Calculator'!B7,D80-F80,""),"")</f>
        <v/>
      </c>
      <c r="F80" s="23">
        <f>IFERROR(IF(A80&lt;='EMI Calculator'!B7,C80*'EMI Calculator'!B6/12,""),"")</f>
        <v/>
      </c>
      <c r="G80" s="23">
        <f>IFERROR(IF(A80&lt;='EMI Calculator'!B7,MAX(C80-E80,0),""),"")</f>
        <v/>
      </c>
      <c r="H80" s="23">
        <f>IFERROR(IF(A80&lt;='EMI Calculator'!B7,H79+F80,""),"")</f>
        <v/>
      </c>
      <c r="I80" s="23">
        <f>IFERROR(IF(A80&lt;='EMI Calculator'!B7,I79+E80,""),"")</f>
        <v/>
      </c>
    </row>
    <row r="81">
      <c r="A81" s="18" t="n">
        <v>78</v>
      </c>
      <c r="B81" s="19">
        <f>IFERROR(DATE(YEAR(B80),MONTH(B80)+1,DAY(B80)),"")</f>
        <v/>
      </c>
      <c r="C81" s="20">
        <f>IFERROR(IF(A81&lt;='EMI Calculator'!B7,G80,""),"")</f>
        <v/>
      </c>
      <c r="D81" s="20">
        <f>IFERROR(IF(A81&lt;='EMI Calculator'!B7,'EMI Calculator'!B11,""),"")</f>
        <v/>
      </c>
      <c r="E81" s="20">
        <f>IFERROR(IF(A81&lt;='EMI Calculator'!B7,D81-F81,""),"")</f>
        <v/>
      </c>
      <c r="F81" s="20">
        <f>IFERROR(IF(A81&lt;='EMI Calculator'!B7,C81*'EMI Calculator'!B6/12,""),"")</f>
        <v/>
      </c>
      <c r="G81" s="20">
        <f>IFERROR(IF(A81&lt;='EMI Calculator'!B7,MAX(C81-E81,0),""),"")</f>
        <v/>
      </c>
      <c r="H81" s="20">
        <f>IFERROR(IF(A81&lt;='EMI Calculator'!B7,H80+F81,""),"")</f>
        <v/>
      </c>
      <c r="I81" s="20">
        <f>IFERROR(IF(A81&lt;='EMI Calculator'!B7,I80+E81,""),"")</f>
        <v/>
      </c>
    </row>
    <row r="82">
      <c r="A82" s="21" t="n">
        <v>79</v>
      </c>
      <c r="B82" s="22">
        <f>IFERROR(DATE(YEAR(B81),MONTH(B81)+1,DAY(B81)),"")</f>
        <v/>
      </c>
      <c r="C82" s="23">
        <f>IFERROR(IF(A82&lt;='EMI Calculator'!B7,G81,""),"")</f>
        <v/>
      </c>
      <c r="D82" s="23">
        <f>IFERROR(IF(A82&lt;='EMI Calculator'!B7,'EMI Calculator'!B11,""),"")</f>
        <v/>
      </c>
      <c r="E82" s="23">
        <f>IFERROR(IF(A82&lt;='EMI Calculator'!B7,D82-F82,""),"")</f>
        <v/>
      </c>
      <c r="F82" s="23">
        <f>IFERROR(IF(A82&lt;='EMI Calculator'!B7,C82*'EMI Calculator'!B6/12,""),"")</f>
        <v/>
      </c>
      <c r="G82" s="23">
        <f>IFERROR(IF(A82&lt;='EMI Calculator'!B7,MAX(C82-E82,0),""),"")</f>
        <v/>
      </c>
      <c r="H82" s="23">
        <f>IFERROR(IF(A82&lt;='EMI Calculator'!B7,H81+F82,""),"")</f>
        <v/>
      </c>
      <c r="I82" s="23">
        <f>IFERROR(IF(A82&lt;='EMI Calculator'!B7,I81+E82,""),"")</f>
        <v/>
      </c>
    </row>
    <row r="83">
      <c r="A83" s="18" t="n">
        <v>80</v>
      </c>
      <c r="B83" s="19">
        <f>IFERROR(DATE(YEAR(B82),MONTH(B82)+1,DAY(B82)),"")</f>
        <v/>
      </c>
      <c r="C83" s="20">
        <f>IFERROR(IF(A83&lt;='EMI Calculator'!B7,G82,""),"")</f>
        <v/>
      </c>
      <c r="D83" s="20">
        <f>IFERROR(IF(A83&lt;='EMI Calculator'!B7,'EMI Calculator'!B11,""),"")</f>
        <v/>
      </c>
      <c r="E83" s="20">
        <f>IFERROR(IF(A83&lt;='EMI Calculator'!B7,D83-F83,""),"")</f>
        <v/>
      </c>
      <c r="F83" s="20">
        <f>IFERROR(IF(A83&lt;='EMI Calculator'!B7,C83*'EMI Calculator'!B6/12,""),"")</f>
        <v/>
      </c>
      <c r="G83" s="20">
        <f>IFERROR(IF(A83&lt;='EMI Calculator'!B7,MAX(C83-E83,0),""),"")</f>
        <v/>
      </c>
      <c r="H83" s="20">
        <f>IFERROR(IF(A83&lt;='EMI Calculator'!B7,H82+F83,""),"")</f>
        <v/>
      </c>
      <c r="I83" s="20">
        <f>IFERROR(IF(A83&lt;='EMI Calculator'!B7,I82+E83,""),"")</f>
        <v/>
      </c>
    </row>
    <row r="84">
      <c r="A84" s="21" t="n">
        <v>81</v>
      </c>
      <c r="B84" s="22">
        <f>IFERROR(DATE(YEAR(B83),MONTH(B83)+1,DAY(B83)),"")</f>
        <v/>
      </c>
      <c r="C84" s="23">
        <f>IFERROR(IF(A84&lt;='EMI Calculator'!B7,G83,""),"")</f>
        <v/>
      </c>
      <c r="D84" s="23">
        <f>IFERROR(IF(A84&lt;='EMI Calculator'!B7,'EMI Calculator'!B11,""),"")</f>
        <v/>
      </c>
      <c r="E84" s="23">
        <f>IFERROR(IF(A84&lt;='EMI Calculator'!B7,D84-F84,""),"")</f>
        <v/>
      </c>
      <c r="F84" s="23">
        <f>IFERROR(IF(A84&lt;='EMI Calculator'!B7,C84*'EMI Calculator'!B6/12,""),"")</f>
        <v/>
      </c>
      <c r="G84" s="23">
        <f>IFERROR(IF(A84&lt;='EMI Calculator'!B7,MAX(C84-E84,0),""),"")</f>
        <v/>
      </c>
      <c r="H84" s="23">
        <f>IFERROR(IF(A84&lt;='EMI Calculator'!B7,H83+F84,""),"")</f>
        <v/>
      </c>
      <c r="I84" s="23">
        <f>IFERROR(IF(A84&lt;='EMI Calculator'!B7,I83+E84,""),"")</f>
        <v/>
      </c>
    </row>
    <row r="85">
      <c r="A85" s="18" t="n">
        <v>82</v>
      </c>
      <c r="B85" s="19">
        <f>IFERROR(DATE(YEAR(B84),MONTH(B84)+1,DAY(B84)),"")</f>
        <v/>
      </c>
      <c r="C85" s="20">
        <f>IFERROR(IF(A85&lt;='EMI Calculator'!B7,G84,""),"")</f>
        <v/>
      </c>
      <c r="D85" s="20">
        <f>IFERROR(IF(A85&lt;='EMI Calculator'!B7,'EMI Calculator'!B11,""),"")</f>
        <v/>
      </c>
      <c r="E85" s="20">
        <f>IFERROR(IF(A85&lt;='EMI Calculator'!B7,D85-F85,""),"")</f>
        <v/>
      </c>
      <c r="F85" s="20">
        <f>IFERROR(IF(A85&lt;='EMI Calculator'!B7,C85*'EMI Calculator'!B6/12,""),"")</f>
        <v/>
      </c>
      <c r="G85" s="20">
        <f>IFERROR(IF(A85&lt;='EMI Calculator'!B7,MAX(C85-E85,0),""),"")</f>
        <v/>
      </c>
      <c r="H85" s="20">
        <f>IFERROR(IF(A85&lt;='EMI Calculator'!B7,H84+F85,""),"")</f>
        <v/>
      </c>
      <c r="I85" s="20">
        <f>IFERROR(IF(A85&lt;='EMI Calculator'!B7,I84+E85,""),"")</f>
        <v/>
      </c>
    </row>
    <row r="86">
      <c r="A86" s="21" t="n">
        <v>83</v>
      </c>
      <c r="B86" s="22">
        <f>IFERROR(DATE(YEAR(B85),MONTH(B85)+1,DAY(B85)),"")</f>
        <v/>
      </c>
      <c r="C86" s="23">
        <f>IFERROR(IF(A86&lt;='EMI Calculator'!B7,G85,""),"")</f>
        <v/>
      </c>
      <c r="D86" s="23">
        <f>IFERROR(IF(A86&lt;='EMI Calculator'!B7,'EMI Calculator'!B11,""),"")</f>
        <v/>
      </c>
      <c r="E86" s="23">
        <f>IFERROR(IF(A86&lt;='EMI Calculator'!B7,D86-F86,""),"")</f>
        <v/>
      </c>
      <c r="F86" s="23">
        <f>IFERROR(IF(A86&lt;='EMI Calculator'!B7,C86*'EMI Calculator'!B6/12,""),"")</f>
        <v/>
      </c>
      <c r="G86" s="23">
        <f>IFERROR(IF(A86&lt;='EMI Calculator'!B7,MAX(C86-E86,0),""),"")</f>
        <v/>
      </c>
      <c r="H86" s="23">
        <f>IFERROR(IF(A86&lt;='EMI Calculator'!B7,H85+F86,""),"")</f>
        <v/>
      </c>
      <c r="I86" s="23">
        <f>IFERROR(IF(A86&lt;='EMI Calculator'!B7,I85+E86,""),"")</f>
        <v/>
      </c>
    </row>
    <row r="87">
      <c r="A87" s="18" t="n">
        <v>84</v>
      </c>
      <c r="B87" s="19">
        <f>IFERROR(DATE(YEAR(B86),MONTH(B86)+1,DAY(B86)),"")</f>
        <v/>
      </c>
      <c r="C87" s="20">
        <f>IFERROR(IF(A87&lt;='EMI Calculator'!B7,G86,""),"")</f>
        <v/>
      </c>
      <c r="D87" s="20">
        <f>IFERROR(IF(A87&lt;='EMI Calculator'!B7,'EMI Calculator'!B11,""),"")</f>
        <v/>
      </c>
      <c r="E87" s="20">
        <f>IFERROR(IF(A87&lt;='EMI Calculator'!B7,D87-F87,""),"")</f>
        <v/>
      </c>
      <c r="F87" s="20">
        <f>IFERROR(IF(A87&lt;='EMI Calculator'!B7,C87*'EMI Calculator'!B6/12,""),"")</f>
        <v/>
      </c>
      <c r="G87" s="20">
        <f>IFERROR(IF(A87&lt;='EMI Calculator'!B7,MAX(C87-E87,0),""),"")</f>
        <v/>
      </c>
      <c r="H87" s="20">
        <f>IFERROR(IF(A87&lt;='EMI Calculator'!B7,H86+F87,""),"")</f>
        <v/>
      </c>
      <c r="I87" s="20">
        <f>IFERROR(IF(A87&lt;='EMI Calculator'!B7,I86+E87,""),"")</f>
        <v/>
      </c>
    </row>
    <row r="88">
      <c r="A88" s="21" t="n">
        <v>85</v>
      </c>
      <c r="B88" s="22">
        <f>IFERROR(DATE(YEAR(B87),MONTH(B87)+1,DAY(B87)),"")</f>
        <v/>
      </c>
      <c r="C88" s="23">
        <f>IFERROR(IF(A88&lt;='EMI Calculator'!B7,G87,""),"")</f>
        <v/>
      </c>
      <c r="D88" s="23">
        <f>IFERROR(IF(A88&lt;='EMI Calculator'!B7,'EMI Calculator'!B11,""),"")</f>
        <v/>
      </c>
      <c r="E88" s="23">
        <f>IFERROR(IF(A88&lt;='EMI Calculator'!B7,D88-F88,""),"")</f>
        <v/>
      </c>
      <c r="F88" s="23">
        <f>IFERROR(IF(A88&lt;='EMI Calculator'!B7,C88*'EMI Calculator'!B6/12,""),"")</f>
        <v/>
      </c>
      <c r="G88" s="23">
        <f>IFERROR(IF(A88&lt;='EMI Calculator'!B7,MAX(C88-E88,0),""),"")</f>
        <v/>
      </c>
      <c r="H88" s="23">
        <f>IFERROR(IF(A88&lt;='EMI Calculator'!B7,H87+F88,""),"")</f>
        <v/>
      </c>
      <c r="I88" s="23">
        <f>IFERROR(IF(A88&lt;='EMI Calculator'!B7,I87+E88,""),"")</f>
        <v/>
      </c>
    </row>
    <row r="89">
      <c r="A89" s="18" t="n">
        <v>86</v>
      </c>
      <c r="B89" s="19">
        <f>IFERROR(DATE(YEAR(B88),MONTH(B88)+1,DAY(B88)),"")</f>
        <v/>
      </c>
      <c r="C89" s="20">
        <f>IFERROR(IF(A89&lt;='EMI Calculator'!B7,G88,""),"")</f>
        <v/>
      </c>
      <c r="D89" s="20">
        <f>IFERROR(IF(A89&lt;='EMI Calculator'!B7,'EMI Calculator'!B11,""),"")</f>
        <v/>
      </c>
      <c r="E89" s="20">
        <f>IFERROR(IF(A89&lt;='EMI Calculator'!B7,D89-F89,""),"")</f>
        <v/>
      </c>
      <c r="F89" s="20">
        <f>IFERROR(IF(A89&lt;='EMI Calculator'!B7,C89*'EMI Calculator'!B6/12,""),"")</f>
        <v/>
      </c>
      <c r="G89" s="20">
        <f>IFERROR(IF(A89&lt;='EMI Calculator'!B7,MAX(C89-E89,0),""),"")</f>
        <v/>
      </c>
      <c r="H89" s="20">
        <f>IFERROR(IF(A89&lt;='EMI Calculator'!B7,H88+F89,""),"")</f>
        <v/>
      </c>
      <c r="I89" s="20">
        <f>IFERROR(IF(A89&lt;='EMI Calculator'!B7,I88+E89,""),"")</f>
        <v/>
      </c>
    </row>
    <row r="90">
      <c r="A90" s="21" t="n">
        <v>87</v>
      </c>
      <c r="B90" s="22">
        <f>IFERROR(DATE(YEAR(B89),MONTH(B89)+1,DAY(B89)),"")</f>
        <v/>
      </c>
      <c r="C90" s="23">
        <f>IFERROR(IF(A90&lt;='EMI Calculator'!B7,G89,""),"")</f>
        <v/>
      </c>
      <c r="D90" s="23">
        <f>IFERROR(IF(A90&lt;='EMI Calculator'!B7,'EMI Calculator'!B11,""),"")</f>
        <v/>
      </c>
      <c r="E90" s="23">
        <f>IFERROR(IF(A90&lt;='EMI Calculator'!B7,D90-F90,""),"")</f>
        <v/>
      </c>
      <c r="F90" s="23">
        <f>IFERROR(IF(A90&lt;='EMI Calculator'!B7,C90*'EMI Calculator'!B6/12,""),"")</f>
        <v/>
      </c>
      <c r="G90" s="23">
        <f>IFERROR(IF(A90&lt;='EMI Calculator'!B7,MAX(C90-E90,0),""),"")</f>
        <v/>
      </c>
      <c r="H90" s="23">
        <f>IFERROR(IF(A90&lt;='EMI Calculator'!B7,H89+F90,""),"")</f>
        <v/>
      </c>
      <c r="I90" s="23">
        <f>IFERROR(IF(A90&lt;='EMI Calculator'!B7,I89+E90,""),"")</f>
        <v/>
      </c>
    </row>
    <row r="91">
      <c r="A91" s="18" t="n">
        <v>88</v>
      </c>
      <c r="B91" s="19">
        <f>IFERROR(DATE(YEAR(B90),MONTH(B90)+1,DAY(B90)),"")</f>
        <v/>
      </c>
      <c r="C91" s="20">
        <f>IFERROR(IF(A91&lt;='EMI Calculator'!B7,G90,""),"")</f>
        <v/>
      </c>
      <c r="D91" s="20">
        <f>IFERROR(IF(A91&lt;='EMI Calculator'!B7,'EMI Calculator'!B11,""),"")</f>
        <v/>
      </c>
      <c r="E91" s="20">
        <f>IFERROR(IF(A91&lt;='EMI Calculator'!B7,D91-F91,""),"")</f>
        <v/>
      </c>
      <c r="F91" s="20">
        <f>IFERROR(IF(A91&lt;='EMI Calculator'!B7,C91*'EMI Calculator'!B6/12,""),"")</f>
        <v/>
      </c>
      <c r="G91" s="20">
        <f>IFERROR(IF(A91&lt;='EMI Calculator'!B7,MAX(C91-E91,0),""),"")</f>
        <v/>
      </c>
      <c r="H91" s="20">
        <f>IFERROR(IF(A91&lt;='EMI Calculator'!B7,H90+F91,""),"")</f>
        <v/>
      </c>
      <c r="I91" s="20">
        <f>IFERROR(IF(A91&lt;='EMI Calculator'!B7,I90+E91,""),"")</f>
        <v/>
      </c>
    </row>
    <row r="92">
      <c r="A92" s="21" t="n">
        <v>89</v>
      </c>
      <c r="B92" s="22">
        <f>IFERROR(DATE(YEAR(B91),MONTH(B91)+1,DAY(B91)),"")</f>
        <v/>
      </c>
      <c r="C92" s="23">
        <f>IFERROR(IF(A92&lt;='EMI Calculator'!B7,G91,""),"")</f>
        <v/>
      </c>
      <c r="D92" s="23">
        <f>IFERROR(IF(A92&lt;='EMI Calculator'!B7,'EMI Calculator'!B11,""),"")</f>
        <v/>
      </c>
      <c r="E92" s="23">
        <f>IFERROR(IF(A92&lt;='EMI Calculator'!B7,D92-F92,""),"")</f>
        <v/>
      </c>
      <c r="F92" s="23">
        <f>IFERROR(IF(A92&lt;='EMI Calculator'!B7,C92*'EMI Calculator'!B6/12,""),"")</f>
        <v/>
      </c>
      <c r="G92" s="23">
        <f>IFERROR(IF(A92&lt;='EMI Calculator'!B7,MAX(C92-E92,0),""),"")</f>
        <v/>
      </c>
      <c r="H92" s="23">
        <f>IFERROR(IF(A92&lt;='EMI Calculator'!B7,H91+F92,""),"")</f>
        <v/>
      </c>
      <c r="I92" s="23">
        <f>IFERROR(IF(A92&lt;='EMI Calculator'!B7,I91+E92,""),"")</f>
        <v/>
      </c>
    </row>
    <row r="93">
      <c r="A93" s="18" t="n">
        <v>90</v>
      </c>
      <c r="B93" s="19">
        <f>IFERROR(DATE(YEAR(B92),MONTH(B92)+1,DAY(B92)),"")</f>
        <v/>
      </c>
      <c r="C93" s="20">
        <f>IFERROR(IF(A93&lt;='EMI Calculator'!B7,G92,""),"")</f>
        <v/>
      </c>
      <c r="D93" s="20">
        <f>IFERROR(IF(A93&lt;='EMI Calculator'!B7,'EMI Calculator'!B11,""),"")</f>
        <v/>
      </c>
      <c r="E93" s="20">
        <f>IFERROR(IF(A93&lt;='EMI Calculator'!B7,D93-F93,""),"")</f>
        <v/>
      </c>
      <c r="F93" s="20">
        <f>IFERROR(IF(A93&lt;='EMI Calculator'!B7,C93*'EMI Calculator'!B6/12,""),"")</f>
        <v/>
      </c>
      <c r="G93" s="20">
        <f>IFERROR(IF(A93&lt;='EMI Calculator'!B7,MAX(C93-E93,0),""),"")</f>
        <v/>
      </c>
      <c r="H93" s="20">
        <f>IFERROR(IF(A93&lt;='EMI Calculator'!B7,H92+F93,""),"")</f>
        <v/>
      </c>
      <c r="I93" s="20">
        <f>IFERROR(IF(A93&lt;='EMI Calculator'!B7,I92+E93,""),"")</f>
        <v/>
      </c>
    </row>
    <row r="94">
      <c r="A94" s="21" t="n">
        <v>91</v>
      </c>
      <c r="B94" s="22">
        <f>IFERROR(DATE(YEAR(B93),MONTH(B93)+1,DAY(B93)),"")</f>
        <v/>
      </c>
      <c r="C94" s="23">
        <f>IFERROR(IF(A94&lt;='EMI Calculator'!B7,G93,""),"")</f>
        <v/>
      </c>
      <c r="D94" s="23">
        <f>IFERROR(IF(A94&lt;='EMI Calculator'!B7,'EMI Calculator'!B11,""),"")</f>
        <v/>
      </c>
      <c r="E94" s="23">
        <f>IFERROR(IF(A94&lt;='EMI Calculator'!B7,D94-F94,""),"")</f>
        <v/>
      </c>
      <c r="F94" s="23">
        <f>IFERROR(IF(A94&lt;='EMI Calculator'!B7,C94*'EMI Calculator'!B6/12,""),"")</f>
        <v/>
      </c>
      <c r="G94" s="23">
        <f>IFERROR(IF(A94&lt;='EMI Calculator'!B7,MAX(C94-E94,0),""),"")</f>
        <v/>
      </c>
      <c r="H94" s="23">
        <f>IFERROR(IF(A94&lt;='EMI Calculator'!B7,H93+F94,""),"")</f>
        <v/>
      </c>
      <c r="I94" s="23">
        <f>IFERROR(IF(A94&lt;='EMI Calculator'!B7,I93+E94,""),"")</f>
        <v/>
      </c>
    </row>
    <row r="95">
      <c r="A95" s="18" t="n">
        <v>92</v>
      </c>
      <c r="B95" s="19">
        <f>IFERROR(DATE(YEAR(B94),MONTH(B94)+1,DAY(B94)),"")</f>
        <v/>
      </c>
      <c r="C95" s="20">
        <f>IFERROR(IF(A95&lt;='EMI Calculator'!B7,G94,""),"")</f>
        <v/>
      </c>
      <c r="D95" s="20">
        <f>IFERROR(IF(A95&lt;='EMI Calculator'!B7,'EMI Calculator'!B11,""),"")</f>
        <v/>
      </c>
      <c r="E95" s="20">
        <f>IFERROR(IF(A95&lt;='EMI Calculator'!B7,D95-F95,""),"")</f>
        <v/>
      </c>
      <c r="F95" s="20">
        <f>IFERROR(IF(A95&lt;='EMI Calculator'!B7,C95*'EMI Calculator'!B6/12,""),"")</f>
        <v/>
      </c>
      <c r="G95" s="20">
        <f>IFERROR(IF(A95&lt;='EMI Calculator'!B7,MAX(C95-E95,0),""),"")</f>
        <v/>
      </c>
      <c r="H95" s="20">
        <f>IFERROR(IF(A95&lt;='EMI Calculator'!B7,H94+F95,""),"")</f>
        <v/>
      </c>
      <c r="I95" s="20">
        <f>IFERROR(IF(A95&lt;='EMI Calculator'!B7,I94+E95,""),"")</f>
        <v/>
      </c>
    </row>
    <row r="96">
      <c r="A96" s="21" t="n">
        <v>93</v>
      </c>
      <c r="B96" s="22">
        <f>IFERROR(DATE(YEAR(B95),MONTH(B95)+1,DAY(B95)),"")</f>
        <v/>
      </c>
      <c r="C96" s="23">
        <f>IFERROR(IF(A96&lt;='EMI Calculator'!B7,G95,""),"")</f>
        <v/>
      </c>
      <c r="D96" s="23">
        <f>IFERROR(IF(A96&lt;='EMI Calculator'!B7,'EMI Calculator'!B11,""),"")</f>
        <v/>
      </c>
      <c r="E96" s="23">
        <f>IFERROR(IF(A96&lt;='EMI Calculator'!B7,D96-F96,""),"")</f>
        <v/>
      </c>
      <c r="F96" s="23">
        <f>IFERROR(IF(A96&lt;='EMI Calculator'!B7,C96*'EMI Calculator'!B6/12,""),"")</f>
        <v/>
      </c>
      <c r="G96" s="23">
        <f>IFERROR(IF(A96&lt;='EMI Calculator'!B7,MAX(C96-E96,0),""),"")</f>
        <v/>
      </c>
      <c r="H96" s="23">
        <f>IFERROR(IF(A96&lt;='EMI Calculator'!B7,H95+F96,""),"")</f>
        <v/>
      </c>
      <c r="I96" s="23">
        <f>IFERROR(IF(A96&lt;='EMI Calculator'!B7,I95+E96,""),"")</f>
        <v/>
      </c>
    </row>
    <row r="97">
      <c r="A97" s="18" t="n">
        <v>94</v>
      </c>
      <c r="B97" s="19">
        <f>IFERROR(DATE(YEAR(B96),MONTH(B96)+1,DAY(B96)),"")</f>
        <v/>
      </c>
      <c r="C97" s="20">
        <f>IFERROR(IF(A97&lt;='EMI Calculator'!B7,G96,""),"")</f>
        <v/>
      </c>
      <c r="D97" s="20">
        <f>IFERROR(IF(A97&lt;='EMI Calculator'!B7,'EMI Calculator'!B11,""),"")</f>
        <v/>
      </c>
      <c r="E97" s="20">
        <f>IFERROR(IF(A97&lt;='EMI Calculator'!B7,D97-F97,""),"")</f>
        <v/>
      </c>
      <c r="F97" s="20">
        <f>IFERROR(IF(A97&lt;='EMI Calculator'!B7,C97*'EMI Calculator'!B6/12,""),"")</f>
        <v/>
      </c>
      <c r="G97" s="20">
        <f>IFERROR(IF(A97&lt;='EMI Calculator'!B7,MAX(C97-E97,0),""),"")</f>
        <v/>
      </c>
      <c r="H97" s="20">
        <f>IFERROR(IF(A97&lt;='EMI Calculator'!B7,H96+F97,""),"")</f>
        <v/>
      </c>
      <c r="I97" s="20">
        <f>IFERROR(IF(A97&lt;='EMI Calculator'!B7,I96+E97,""),"")</f>
        <v/>
      </c>
    </row>
    <row r="98">
      <c r="A98" s="21" t="n">
        <v>95</v>
      </c>
      <c r="B98" s="22">
        <f>IFERROR(DATE(YEAR(B97),MONTH(B97)+1,DAY(B97)),"")</f>
        <v/>
      </c>
      <c r="C98" s="23">
        <f>IFERROR(IF(A98&lt;='EMI Calculator'!B7,G97,""),"")</f>
        <v/>
      </c>
      <c r="D98" s="23">
        <f>IFERROR(IF(A98&lt;='EMI Calculator'!B7,'EMI Calculator'!B11,""),"")</f>
        <v/>
      </c>
      <c r="E98" s="23">
        <f>IFERROR(IF(A98&lt;='EMI Calculator'!B7,D98-F98,""),"")</f>
        <v/>
      </c>
      <c r="F98" s="23">
        <f>IFERROR(IF(A98&lt;='EMI Calculator'!B7,C98*'EMI Calculator'!B6/12,""),"")</f>
        <v/>
      </c>
      <c r="G98" s="23">
        <f>IFERROR(IF(A98&lt;='EMI Calculator'!B7,MAX(C98-E98,0),""),"")</f>
        <v/>
      </c>
      <c r="H98" s="23">
        <f>IFERROR(IF(A98&lt;='EMI Calculator'!B7,H97+F98,""),"")</f>
        <v/>
      </c>
      <c r="I98" s="23">
        <f>IFERROR(IF(A98&lt;='EMI Calculator'!B7,I97+E98,""),"")</f>
        <v/>
      </c>
    </row>
    <row r="99">
      <c r="A99" s="18" t="n">
        <v>96</v>
      </c>
      <c r="B99" s="19">
        <f>IFERROR(DATE(YEAR(B98),MONTH(B98)+1,DAY(B98)),"")</f>
        <v/>
      </c>
      <c r="C99" s="20">
        <f>IFERROR(IF(A99&lt;='EMI Calculator'!B7,G98,""),"")</f>
        <v/>
      </c>
      <c r="D99" s="20">
        <f>IFERROR(IF(A99&lt;='EMI Calculator'!B7,'EMI Calculator'!B11,""),"")</f>
        <v/>
      </c>
      <c r="E99" s="20">
        <f>IFERROR(IF(A99&lt;='EMI Calculator'!B7,D99-F99,""),"")</f>
        <v/>
      </c>
      <c r="F99" s="20">
        <f>IFERROR(IF(A99&lt;='EMI Calculator'!B7,C99*'EMI Calculator'!B6/12,""),"")</f>
        <v/>
      </c>
      <c r="G99" s="20">
        <f>IFERROR(IF(A99&lt;='EMI Calculator'!B7,MAX(C99-E99,0),""),"")</f>
        <v/>
      </c>
      <c r="H99" s="20">
        <f>IFERROR(IF(A99&lt;='EMI Calculator'!B7,H98+F99,""),"")</f>
        <v/>
      </c>
      <c r="I99" s="20">
        <f>IFERROR(IF(A99&lt;='EMI Calculator'!B7,I98+E99,""),"")</f>
        <v/>
      </c>
    </row>
    <row r="100">
      <c r="A100" s="21" t="n">
        <v>97</v>
      </c>
      <c r="B100" s="22">
        <f>IFERROR(DATE(YEAR(B99),MONTH(B99)+1,DAY(B99)),"")</f>
        <v/>
      </c>
      <c r="C100" s="23">
        <f>IFERROR(IF(A100&lt;='EMI Calculator'!B7,G99,""),"")</f>
        <v/>
      </c>
      <c r="D100" s="23">
        <f>IFERROR(IF(A100&lt;='EMI Calculator'!B7,'EMI Calculator'!B11,""),"")</f>
        <v/>
      </c>
      <c r="E100" s="23">
        <f>IFERROR(IF(A100&lt;='EMI Calculator'!B7,D100-F100,""),"")</f>
        <v/>
      </c>
      <c r="F100" s="23">
        <f>IFERROR(IF(A100&lt;='EMI Calculator'!B7,C100*'EMI Calculator'!B6/12,""),"")</f>
        <v/>
      </c>
      <c r="G100" s="23">
        <f>IFERROR(IF(A100&lt;='EMI Calculator'!B7,MAX(C100-E100,0),""),"")</f>
        <v/>
      </c>
      <c r="H100" s="23">
        <f>IFERROR(IF(A100&lt;='EMI Calculator'!B7,H99+F100,""),"")</f>
        <v/>
      </c>
      <c r="I100" s="23">
        <f>IFERROR(IF(A100&lt;='EMI Calculator'!B7,I99+E100,""),"")</f>
        <v/>
      </c>
    </row>
    <row r="101">
      <c r="A101" s="18" t="n">
        <v>98</v>
      </c>
      <c r="B101" s="19">
        <f>IFERROR(DATE(YEAR(B100),MONTH(B100)+1,DAY(B100)),"")</f>
        <v/>
      </c>
      <c r="C101" s="20">
        <f>IFERROR(IF(A101&lt;='EMI Calculator'!B7,G100,""),"")</f>
        <v/>
      </c>
      <c r="D101" s="20">
        <f>IFERROR(IF(A101&lt;='EMI Calculator'!B7,'EMI Calculator'!B11,""),"")</f>
        <v/>
      </c>
      <c r="E101" s="20">
        <f>IFERROR(IF(A101&lt;='EMI Calculator'!B7,D101-F101,""),"")</f>
        <v/>
      </c>
      <c r="F101" s="20">
        <f>IFERROR(IF(A101&lt;='EMI Calculator'!B7,C101*'EMI Calculator'!B6/12,""),"")</f>
        <v/>
      </c>
      <c r="G101" s="20">
        <f>IFERROR(IF(A101&lt;='EMI Calculator'!B7,MAX(C101-E101,0),""),"")</f>
        <v/>
      </c>
      <c r="H101" s="20">
        <f>IFERROR(IF(A101&lt;='EMI Calculator'!B7,H100+F101,""),"")</f>
        <v/>
      </c>
      <c r="I101" s="20">
        <f>IFERROR(IF(A101&lt;='EMI Calculator'!B7,I100+E101,""),"")</f>
        <v/>
      </c>
    </row>
    <row r="102">
      <c r="A102" s="21" t="n">
        <v>99</v>
      </c>
      <c r="B102" s="22">
        <f>IFERROR(DATE(YEAR(B101),MONTH(B101)+1,DAY(B101)),"")</f>
        <v/>
      </c>
      <c r="C102" s="23">
        <f>IFERROR(IF(A102&lt;='EMI Calculator'!B7,G101,""),"")</f>
        <v/>
      </c>
      <c r="D102" s="23">
        <f>IFERROR(IF(A102&lt;='EMI Calculator'!B7,'EMI Calculator'!B11,""),"")</f>
        <v/>
      </c>
      <c r="E102" s="23">
        <f>IFERROR(IF(A102&lt;='EMI Calculator'!B7,D102-F102,""),"")</f>
        <v/>
      </c>
      <c r="F102" s="23">
        <f>IFERROR(IF(A102&lt;='EMI Calculator'!B7,C102*'EMI Calculator'!B6/12,""),"")</f>
        <v/>
      </c>
      <c r="G102" s="23">
        <f>IFERROR(IF(A102&lt;='EMI Calculator'!B7,MAX(C102-E102,0),""),"")</f>
        <v/>
      </c>
      <c r="H102" s="23">
        <f>IFERROR(IF(A102&lt;='EMI Calculator'!B7,H101+F102,""),"")</f>
        <v/>
      </c>
      <c r="I102" s="23">
        <f>IFERROR(IF(A102&lt;='EMI Calculator'!B7,I101+E102,""),"")</f>
        <v/>
      </c>
    </row>
    <row r="103">
      <c r="A103" s="18" t="n">
        <v>100</v>
      </c>
      <c r="B103" s="19">
        <f>IFERROR(DATE(YEAR(B102),MONTH(B102)+1,DAY(B102)),"")</f>
        <v/>
      </c>
      <c r="C103" s="20">
        <f>IFERROR(IF(A103&lt;='EMI Calculator'!B7,G102,""),"")</f>
        <v/>
      </c>
      <c r="D103" s="20">
        <f>IFERROR(IF(A103&lt;='EMI Calculator'!B7,'EMI Calculator'!B11,""),"")</f>
        <v/>
      </c>
      <c r="E103" s="20">
        <f>IFERROR(IF(A103&lt;='EMI Calculator'!B7,D103-F103,""),"")</f>
        <v/>
      </c>
      <c r="F103" s="20">
        <f>IFERROR(IF(A103&lt;='EMI Calculator'!B7,C103*'EMI Calculator'!B6/12,""),"")</f>
        <v/>
      </c>
      <c r="G103" s="20">
        <f>IFERROR(IF(A103&lt;='EMI Calculator'!B7,MAX(C103-E103,0),""),"")</f>
        <v/>
      </c>
      <c r="H103" s="20">
        <f>IFERROR(IF(A103&lt;='EMI Calculator'!B7,H102+F103,""),"")</f>
        <v/>
      </c>
      <c r="I103" s="20">
        <f>IFERROR(IF(A103&lt;='EMI Calculator'!B7,I102+E103,""),"")</f>
        <v/>
      </c>
    </row>
    <row r="104">
      <c r="A104" s="21" t="n">
        <v>101</v>
      </c>
      <c r="B104" s="22">
        <f>IFERROR(DATE(YEAR(B103),MONTH(B103)+1,DAY(B103)),"")</f>
        <v/>
      </c>
      <c r="C104" s="23">
        <f>IFERROR(IF(A104&lt;='EMI Calculator'!B7,G103,""),"")</f>
        <v/>
      </c>
      <c r="D104" s="23">
        <f>IFERROR(IF(A104&lt;='EMI Calculator'!B7,'EMI Calculator'!B11,""),"")</f>
        <v/>
      </c>
      <c r="E104" s="23">
        <f>IFERROR(IF(A104&lt;='EMI Calculator'!B7,D104-F104,""),"")</f>
        <v/>
      </c>
      <c r="F104" s="23">
        <f>IFERROR(IF(A104&lt;='EMI Calculator'!B7,C104*'EMI Calculator'!B6/12,""),"")</f>
        <v/>
      </c>
      <c r="G104" s="23">
        <f>IFERROR(IF(A104&lt;='EMI Calculator'!B7,MAX(C104-E104,0),""),"")</f>
        <v/>
      </c>
      <c r="H104" s="23">
        <f>IFERROR(IF(A104&lt;='EMI Calculator'!B7,H103+F104,""),"")</f>
        <v/>
      </c>
      <c r="I104" s="23">
        <f>IFERROR(IF(A104&lt;='EMI Calculator'!B7,I103+E104,""),"")</f>
        <v/>
      </c>
    </row>
    <row r="105">
      <c r="A105" s="18" t="n">
        <v>102</v>
      </c>
      <c r="B105" s="19">
        <f>IFERROR(DATE(YEAR(B104),MONTH(B104)+1,DAY(B104)),"")</f>
        <v/>
      </c>
      <c r="C105" s="20">
        <f>IFERROR(IF(A105&lt;='EMI Calculator'!B7,G104,""),"")</f>
        <v/>
      </c>
      <c r="D105" s="20">
        <f>IFERROR(IF(A105&lt;='EMI Calculator'!B7,'EMI Calculator'!B11,""),"")</f>
        <v/>
      </c>
      <c r="E105" s="20">
        <f>IFERROR(IF(A105&lt;='EMI Calculator'!B7,D105-F105,""),"")</f>
        <v/>
      </c>
      <c r="F105" s="20">
        <f>IFERROR(IF(A105&lt;='EMI Calculator'!B7,C105*'EMI Calculator'!B6/12,""),"")</f>
        <v/>
      </c>
      <c r="G105" s="20">
        <f>IFERROR(IF(A105&lt;='EMI Calculator'!B7,MAX(C105-E105,0),""),"")</f>
        <v/>
      </c>
      <c r="H105" s="20">
        <f>IFERROR(IF(A105&lt;='EMI Calculator'!B7,H104+F105,""),"")</f>
        <v/>
      </c>
      <c r="I105" s="20">
        <f>IFERROR(IF(A105&lt;='EMI Calculator'!B7,I104+E105,""),"")</f>
        <v/>
      </c>
    </row>
    <row r="106">
      <c r="A106" s="21" t="n">
        <v>103</v>
      </c>
      <c r="B106" s="22">
        <f>IFERROR(DATE(YEAR(B105),MONTH(B105)+1,DAY(B105)),"")</f>
        <v/>
      </c>
      <c r="C106" s="23">
        <f>IFERROR(IF(A106&lt;='EMI Calculator'!B7,G105,""),"")</f>
        <v/>
      </c>
      <c r="D106" s="23">
        <f>IFERROR(IF(A106&lt;='EMI Calculator'!B7,'EMI Calculator'!B11,""),"")</f>
        <v/>
      </c>
      <c r="E106" s="23">
        <f>IFERROR(IF(A106&lt;='EMI Calculator'!B7,D106-F106,""),"")</f>
        <v/>
      </c>
      <c r="F106" s="23">
        <f>IFERROR(IF(A106&lt;='EMI Calculator'!B7,C106*'EMI Calculator'!B6/12,""),"")</f>
        <v/>
      </c>
      <c r="G106" s="23">
        <f>IFERROR(IF(A106&lt;='EMI Calculator'!B7,MAX(C106-E106,0),""),"")</f>
        <v/>
      </c>
      <c r="H106" s="23">
        <f>IFERROR(IF(A106&lt;='EMI Calculator'!B7,H105+F106,""),"")</f>
        <v/>
      </c>
      <c r="I106" s="23">
        <f>IFERROR(IF(A106&lt;='EMI Calculator'!B7,I105+E106,""),"")</f>
        <v/>
      </c>
    </row>
    <row r="107">
      <c r="A107" s="18" t="n">
        <v>104</v>
      </c>
      <c r="B107" s="19">
        <f>IFERROR(DATE(YEAR(B106),MONTH(B106)+1,DAY(B106)),"")</f>
        <v/>
      </c>
      <c r="C107" s="20">
        <f>IFERROR(IF(A107&lt;='EMI Calculator'!B7,G106,""),"")</f>
        <v/>
      </c>
      <c r="D107" s="20">
        <f>IFERROR(IF(A107&lt;='EMI Calculator'!B7,'EMI Calculator'!B11,""),"")</f>
        <v/>
      </c>
      <c r="E107" s="20">
        <f>IFERROR(IF(A107&lt;='EMI Calculator'!B7,D107-F107,""),"")</f>
        <v/>
      </c>
      <c r="F107" s="20">
        <f>IFERROR(IF(A107&lt;='EMI Calculator'!B7,C107*'EMI Calculator'!B6/12,""),"")</f>
        <v/>
      </c>
      <c r="G107" s="20">
        <f>IFERROR(IF(A107&lt;='EMI Calculator'!B7,MAX(C107-E107,0),""),"")</f>
        <v/>
      </c>
      <c r="H107" s="20">
        <f>IFERROR(IF(A107&lt;='EMI Calculator'!B7,H106+F107,""),"")</f>
        <v/>
      </c>
      <c r="I107" s="20">
        <f>IFERROR(IF(A107&lt;='EMI Calculator'!B7,I106+E107,""),"")</f>
        <v/>
      </c>
    </row>
    <row r="108">
      <c r="A108" s="21" t="n">
        <v>105</v>
      </c>
      <c r="B108" s="22">
        <f>IFERROR(DATE(YEAR(B107),MONTH(B107)+1,DAY(B107)),"")</f>
        <v/>
      </c>
      <c r="C108" s="23">
        <f>IFERROR(IF(A108&lt;='EMI Calculator'!B7,G107,""),"")</f>
        <v/>
      </c>
      <c r="D108" s="23">
        <f>IFERROR(IF(A108&lt;='EMI Calculator'!B7,'EMI Calculator'!B11,""),"")</f>
        <v/>
      </c>
      <c r="E108" s="23">
        <f>IFERROR(IF(A108&lt;='EMI Calculator'!B7,D108-F108,""),"")</f>
        <v/>
      </c>
      <c r="F108" s="23">
        <f>IFERROR(IF(A108&lt;='EMI Calculator'!B7,C108*'EMI Calculator'!B6/12,""),"")</f>
        <v/>
      </c>
      <c r="G108" s="23">
        <f>IFERROR(IF(A108&lt;='EMI Calculator'!B7,MAX(C108-E108,0),""),"")</f>
        <v/>
      </c>
      <c r="H108" s="23">
        <f>IFERROR(IF(A108&lt;='EMI Calculator'!B7,H107+F108,""),"")</f>
        <v/>
      </c>
      <c r="I108" s="23">
        <f>IFERROR(IF(A108&lt;='EMI Calculator'!B7,I107+E108,""),"")</f>
        <v/>
      </c>
    </row>
    <row r="109">
      <c r="A109" s="18" t="n">
        <v>106</v>
      </c>
      <c r="B109" s="19">
        <f>IFERROR(DATE(YEAR(B108),MONTH(B108)+1,DAY(B108)),"")</f>
        <v/>
      </c>
      <c r="C109" s="20">
        <f>IFERROR(IF(A109&lt;='EMI Calculator'!B7,G108,""),"")</f>
        <v/>
      </c>
      <c r="D109" s="20">
        <f>IFERROR(IF(A109&lt;='EMI Calculator'!B7,'EMI Calculator'!B11,""),"")</f>
        <v/>
      </c>
      <c r="E109" s="20">
        <f>IFERROR(IF(A109&lt;='EMI Calculator'!B7,D109-F109,""),"")</f>
        <v/>
      </c>
      <c r="F109" s="20">
        <f>IFERROR(IF(A109&lt;='EMI Calculator'!B7,C109*'EMI Calculator'!B6/12,""),"")</f>
        <v/>
      </c>
      <c r="G109" s="20">
        <f>IFERROR(IF(A109&lt;='EMI Calculator'!B7,MAX(C109-E109,0),""),"")</f>
        <v/>
      </c>
      <c r="H109" s="20">
        <f>IFERROR(IF(A109&lt;='EMI Calculator'!B7,H108+F109,""),"")</f>
        <v/>
      </c>
      <c r="I109" s="20">
        <f>IFERROR(IF(A109&lt;='EMI Calculator'!B7,I108+E109,""),"")</f>
        <v/>
      </c>
    </row>
    <row r="110">
      <c r="A110" s="21" t="n">
        <v>107</v>
      </c>
      <c r="B110" s="22">
        <f>IFERROR(DATE(YEAR(B109),MONTH(B109)+1,DAY(B109)),"")</f>
        <v/>
      </c>
      <c r="C110" s="23">
        <f>IFERROR(IF(A110&lt;='EMI Calculator'!B7,G109,""),"")</f>
        <v/>
      </c>
      <c r="D110" s="23">
        <f>IFERROR(IF(A110&lt;='EMI Calculator'!B7,'EMI Calculator'!B11,""),"")</f>
        <v/>
      </c>
      <c r="E110" s="23">
        <f>IFERROR(IF(A110&lt;='EMI Calculator'!B7,D110-F110,""),"")</f>
        <v/>
      </c>
      <c r="F110" s="23">
        <f>IFERROR(IF(A110&lt;='EMI Calculator'!B7,C110*'EMI Calculator'!B6/12,""),"")</f>
        <v/>
      </c>
      <c r="G110" s="23">
        <f>IFERROR(IF(A110&lt;='EMI Calculator'!B7,MAX(C110-E110,0),""),"")</f>
        <v/>
      </c>
      <c r="H110" s="23">
        <f>IFERROR(IF(A110&lt;='EMI Calculator'!B7,H109+F110,""),"")</f>
        <v/>
      </c>
      <c r="I110" s="23">
        <f>IFERROR(IF(A110&lt;='EMI Calculator'!B7,I109+E110,""),"")</f>
        <v/>
      </c>
    </row>
    <row r="111">
      <c r="A111" s="18" t="n">
        <v>108</v>
      </c>
      <c r="B111" s="19">
        <f>IFERROR(DATE(YEAR(B110),MONTH(B110)+1,DAY(B110)),"")</f>
        <v/>
      </c>
      <c r="C111" s="20">
        <f>IFERROR(IF(A111&lt;='EMI Calculator'!B7,G110,""),"")</f>
        <v/>
      </c>
      <c r="D111" s="20">
        <f>IFERROR(IF(A111&lt;='EMI Calculator'!B7,'EMI Calculator'!B11,""),"")</f>
        <v/>
      </c>
      <c r="E111" s="20">
        <f>IFERROR(IF(A111&lt;='EMI Calculator'!B7,D111-F111,""),"")</f>
        <v/>
      </c>
      <c r="F111" s="20">
        <f>IFERROR(IF(A111&lt;='EMI Calculator'!B7,C111*'EMI Calculator'!B6/12,""),"")</f>
        <v/>
      </c>
      <c r="G111" s="20">
        <f>IFERROR(IF(A111&lt;='EMI Calculator'!B7,MAX(C111-E111,0),""),"")</f>
        <v/>
      </c>
      <c r="H111" s="20">
        <f>IFERROR(IF(A111&lt;='EMI Calculator'!B7,H110+F111,""),"")</f>
        <v/>
      </c>
      <c r="I111" s="20">
        <f>IFERROR(IF(A111&lt;='EMI Calculator'!B7,I110+E111,""),"")</f>
        <v/>
      </c>
    </row>
    <row r="112">
      <c r="A112" s="21" t="n">
        <v>109</v>
      </c>
      <c r="B112" s="22">
        <f>IFERROR(DATE(YEAR(B111),MONTH(B111)+1,DAY(B111)),"")</f>
        <v/>
      </c>
      <c r="C112" s="23">
        <f>IFERROR(IF(A112&lt;='EMI Calculator'!B7,G111,""),"")</f>
        <v/>
      </c>
      <c r="D112" s="23">
        <f>IFERROR(IF(A112&lt;='EMI Calculator'!B7,'EMI Calculator'!B11,""),"")</f>
        <v/>
      </c>
      <c r="E112" s="23">
        <f>IFERROR(IF(A112&lt;='EMI Calculator'!B7,D112-F112,""),"")</f>
        <v/>
      </c>
      <c r="F112" s="23">
        <f>IFERROR(IF(A112&lt;='EMI Calculator'!B7,C112*'EMI Calculator'!B6/12,""),"")</f>
        <v/>
      </c>
      <c r="G112" s="23">
        <f>IFERROR(IF(A112&lt;='EMI Calculator'!B7,MAX(C112-E112,0),""),"")</f>
        <v/>
      </c>
      <c r="H112" s="23">
        <f>IFERROR(IF(A112&lt;='EMI Calculator'!B7,H111+F112,""),"")</f>
        <v/>
      </c>
      <c r="I112" s="23">
        <f>IFERROR(IF(A112&lt;='EMI Calculator'!B7,I111+E112,""),"")</f>
        <v/>
      </c>
    </row>
    <row r="113">
      <c r="A113" s="18" t="n">
        <v>110</v>
      </c>
      <c r="B113" s="19">
        <f>IFERROR(DATE(YEAR(B112),MONTH(B112)+1,DAY(B112)),"")</f>
        <v/>
      </c>
      <c r="C113" s="20">
        <f>IFERROR(IF(A113&lt;='EMI Calculator'!B7,G112,""),"")</f>
        <v/>
      </c>
      <c r="D113" s="20">
        <f>IFERROR(IF(A113&lt;='EMI Calculator'!B7,'EMI Calculator'!B11,""),"")</f>
        <v/>
      </c>
      <c r="E113" s="20">
        <f>IFERROR(IF(A113&lt;='EMI Calculator'!B7,D113-F113,""),"")</f>
        <v/>
      </c>
      <c r="F113" s="20">
        <f>IFERROR(IF(A113&lt;='EMI Calculator'!B7,C113*'EMI Calculator'!B6/12,""),"")</f>
        <v/>
      </c>
      <c r="G113" s="20">
        <f>IFERROR(IF(A113&lt;='EMI Calculator'!B7,MAX(C113-E113,0),""),"")</f>
        <v/>
      </c>
      <c r="H113" s="20">
        <f>IFERROR(IF(A113&lt;='EMI Calculator'!B7,H112+F113,""),"")</f>
        <v/>
      </c>
      <c r="I113" s="20">
        <f>IFERROR(IF(A113&lt;='EMI Calculator'!B7,I112+E113,""),"")</f>
        <v/>
      </c>
    </row>
    <row r="114">
      <c r="A114" s="21" t="n">
        <v>111</v>
      </c>
      <c r="B114" s="22">
        <f>IFERROR(DATE(YEAR(B113),MONTH(B113)+1,DAY(B113)),"")</f>
        <v/>
      </c>
      <c r="C114" s="23">
        <f>IFERROR(IF(A114&lt;='EMI Calculator'!B7,G113,""),"")</f>
        <v/>
      </c>
      <c r="D114" s="23">
        <f>IFERROR(IF(A114&lt;='EMI Calculator'!B7,'EMI Calculator'!B11,""),"")</f>
        <v/>
      </c>
      <c r="E114" s="23">
        <f>IFERROR(IF(A114&lt;='EMI Calculator'!B7,D114-F114,""),"")</f>
        <v/>
      </c>
      <c r="F114" s="23">
        <f>IFERROR(IF(A114&lt;='EMI Calculator'!B7,C114*'EMI Calculator'!B6/12,""),"")</f>
        <v/>
      </c>
      <c r="G114" s="23">
        <f>IFERROR(IF(A114&lt;='EMI Calculator'!B7,MAX(C114-E114,0),""),"")</f>
        <v/>
      </c>
      <c r="H114" s="23">
        <f>IFERROR(IF(A114&lt;='EMI Calculator'!B7,H113+F114,""),"")</f>
        <v/>
      </c>
      <c r="I114" s="23">
        <f>IFERROR(IF(A114&lt;='EMI Calculator'!B7,I113+E114,""),"")</f>
        <v/>
      </c>
    </row>
    <row r="115">
      <c r="A115" s="18" t="n">
        <v>112</v>
      </c>
      <c r="B115" s="19">
        <f>IFERROR(DATE(YEAR(B114),MONTH(B114)+1,DAY(B114)),"")</f>
        <v/>
      </c>
      <c r="C115" s="20">
        <f>IFERROR(IF(A115&lt;='EMI Calculator'!B7,G114,""),"")</f>
        <v/>
      </c>
      <c r="D115" s="20">
        <f>IFERROR(IF(A115&lt;='EMI Calculator'!B7,'EMI Calculator'!B11,""),"")</f>
        <v/>
      </c>
      <c r="E115" s="20">
        <f>IFERROR(IF(A115&lt;='EMI Calculator'!B7,D115-F115,""),"")</f>
        <v/>
      </c>
      <c r="F115" s="20">
        <f>IFERROR(IF(A115&lt;='EMI Calculator'!B7,C115*'EMI Calculator'!B6/12,""),"")</f>
        <v/>
      </c>
      <c r="G115" s="20">
        <f>IFERROR(IF(A115&lt;='EMI Calculator'!B7,MAX(C115-E115,0),""),"")</f>
        <v/>
      </c>
      <c r="H115" s="20">
        <f>IFERROR(IF(A115&lt;='EMI Calculator'!B7,H114+F115,""),"")</f>
        <v/>
      </c>
      <c r="I115" s="20">
        <f>IFERROR(IF(A115&lt;='EMI Calculator'!B7,I114+E115,""),"")</f>
        <v/>
      </c>
    </row>
    <row r="116">
      <c r="A116" s="21" t="n">
        <v>113</v>
      </c>
      <c r="B116" s="22">
        <f>IFERROR(DATE(YEAR(B115),MONTH(B115)+1,DAY(B115)),"")</f>
        <v/>
      </c>
      <c r="C116" s="23">
        <f>IFERROR(IF(A116&lt;='EMI Calculator'!B7,G115,""),"")</f>
        <v/>
      </c>
      <c r="D116" s="23">
        <f>IFERROR(IF(A116&lt;='EMI Calculator'!B7,'EMI Calculator'!B11,""),"")</f>
        <v/>
      </c>
      <c r="E116" s="23">
        <f>IFERROR(IF(A116&lt;='EMI Calculator'!B7,D116-F116,""),"")</f>
        <v/>
      </c>
      <c r="F116" s="23">
        <f>IFERROR(IF(A116&lt;='EMI Calculator'!B7,C116*'EMI Calculator'!B6/12,""),"")</f>
        <v/>
      </c>
      <c r="G116" s="23">
        <f>IFERROR(IF(A116&lt;='EMI Calculator'!B7,MAX(C116-E116,0),""),"")</f>
        <v/>
      </c>
      <c r="H116" s="23">
        <f>IFERROR(IF(A116&lt;='EMI Calculator'!B7,H115+F116,""),"")</f>
        <v/>
      </c>
      <c r="I116" s="23">
        <f>IFERROR(IF(A116&lt;='EMI Calculator'!B7,I115+E116,""),"")</f>
        <v/>
      </c>
    </row>
    <row r="117">
      <c r="A117" s="18" t="n">
        <v>114</v>
      </c>
      <c r="B117" s="19">
        <f>IFERROR(DATE(YEAR(B116),MONTH(B116)+1,DAY(B116)),"")</f>
        <v/>
      </c>
      <c r="C117" s="20">
        <f>IFERROR(IF(A117&lt;='EMI Calculator'!B7,G116,""),"")</f>
        <v/>
      </c>
      <c r="D117" s="20">
        <f>IFERROR(IF(A117&lt;='EMI Calculator'!B7,'EMI Calculator'!B11,""),"")</f>
        <v/>
      </c>
      <c r="E117" s="20">
        <f>IFERROR(IF(A117&lt;='EMI Calculator'!B7,D117-F117,""),"")</f>
        <v/>
      </c>
      <c r="F117" s="20">
        <f>IFERROR(IF(A117&lt;='EMI Calculator'!B7,C117*'EMI Calculator'!B6/12,""),"")</f>
        <v/>
      </c>
      <c r="G117" s="20">
        <f>IFERROR(IF(A117&lt;='EMI Calculator'!B7,MAX(C117-E117,0),""),"")</f>
        <v/>
      </c>
      <c r="H117" s="20">
        <f>IFERROR(IF(A117&lt;='EMI Calculator'!B7,H116+F117,""),"")</f>
        <v/>
      </c>
      <c r="I117" s="20">
        <f>IFERROR(IF(A117&lt;='EMI Calculator'!B7,I116+E117,""),"")</f>
        <v/>
      </c>
    </row>
    <row r="118">
      <c r="A118" s="21" t="n">
        <v>115</v>
      </c>
      <c r="B118" s="22">
        <f>IFERROR(DATE(YEAR(B117),MONTH(B117)+1,DAY(B117)),"")</f>
        <v/>
      </c>
      <c r="C118" s="23">
        <f>IFERROR(IF(A118&lt;='EMI Calculator'!B7,G117,""),"")</f>
        <v/>
      </c>
      <c r="D118" s="23">
        <f>IFERROR(IF(A118&lt;='EMI Calculator'!B7,'EMI Calculator'!B11,""),"")</f>
        <v/>
      </c>
      <c r="E118" s="23">
        <f>IFERROR(IF(A118&lt;='EMI Calculator'!B7,D118-F118,""),"")</f>
        <v/>
      </c>
      <c r="F118" s="23">
        <f>IFERROR(IF(A118&lt;='EMI Calculator'!B7,C118*'EMI Calculator'!B6/12,""),"")</f>
        <v/>
      </c>
      <c r="G118" s="23">
        <f>IFERROR(IF(A118&lt;='EMI Calculator'!B7,MAX(C118-E118,0),""),"")</f>
        <v/>
      </c>
      <c r="H118" s="23">
        <f>IFERROR(IF(A118&lt;='EMI Calculator'!B7,H117+F118,""),"")</f>
        <v/>
      </c>
      <c r="I118" s="23">
        <f>IFERROR(IF(A118&lt;='EMI Calculator'!B7,I117+E118,""),"")</f>
        <v/>
      </c>
    </row>
    <row r="119">
      <c r="A119" s="18" t="n">
        <v>116</v>
      </c>
      <c r="B119" s="19">
        <f>IFERROR(DATE(YEAR(B118),MONTH(B118)+1,DAY(B118)),"")</f>
        <v/>
      </c>
      <c r="C119" s="20">
        <f>IFERROR(IF(A119&lt;='EMI Calculator'!B7,G118,""),"")</f>
        <v/>
      </c>
      <c r="D119" s="20">
        <f>IFERROR(IF(A119&lt;='EMI Calculator'!B7,'EMI Calculator'!B11,""),"")</f>
        <v/>
      </c>
      <c r="E119" s="20">
        <f>IFERROR(IF(A119&lt;='EMI Calculator'!B7,D119-F119,""),"")</f>
        <v/>
      </c>
      <c r="F119" s="20">
        <f>IFERROR(IF(A119&lt;='EMI Calculator'!B7,C119*'EMI Calculator'!B6/12,""),"")</f>
        <v/>
      </c>
      <c r="G119" s="20">
        <f>IFERROR(IF(A119&lt;='EMI Calculator'!B7,MAX(C119-E119,0),""),"")</f>
        <v/>
      </c>
      <c r="H119" s="20">
        <f>IFERROR(IF(A119&lt;='EMI Calculator'!B7,H118+F119,""),"")</f>
        <v/>
      </c>
      <c r="I119" s="20">
        <f>IFERROR(IF(A119&lt;='EMI Calculator'!B7,I118+E119,""),"")</f>
        <v/>
      </c>
    </row>
    <row r="120">
      <c r="A120" s="21" t="n">
        <v>117</v>
      </c>
      <c r="B120" s="22">
        <f>IFERROR(DATE(YEAR(B119),MONTH(B119)+1,DAY(B119)),"")</f>
        <v/>
      </c>
      <c r="C120" s="23">
        <f>IFERROR(IF(A120&lt;='EMI Calculator'!B7,G119,""),"")</f>
        <v/>
      </c>
      <c r="D120" s="23">
        <f>IFERROR(IF(A120&lt;='EMI Calculator'!B7,'EMI Calculator'!B11,""),"")</f>
        <v/>
      </c>
      <c r="E120" s="23">
        <f>IFERROR(IF(A120&lt;='EMI Calculator'!B7,D120-F120,""),"")</f>
        <v/>
      </c>
      <c r="F120" s="23">
        <f>IFERROR(IF(A120&lt;='EMI Calculator'!B7,C120*'EMI Calculator'!B6/12,""),"")</f>
        <v/>
      </c>
      <c r="G120" s="23">
        <f>IFERROR(IF(A120&lt;='EMI Calculator'!B7,MAX(C120-E120,0),""),"")</f>
        <v/>
      </c>
      <c r="H120" s="23">
        <f>IFERROR(IF(A120&lt;='EMI Calculator'!B7,H119+F120,""),"")</f>
        <v/>
      </c>
      <c r="I120" s="23">
        <f>IFERROR(IF(A120&lt;='EMI Calculator'!B7,I119+E120,""),"")</f>
        <v/>
      </c>
    </row>
    <row r="121">
      <c r="A121" s="18" t="n">
        <v>118</v>
      </c>
      <c r="B121" s="19">
        <f>IFERROR(DATE(YEAR(B120),MONTH(B120)+1,DAY(B120)),"")</f>
        <v/>
      </c>
      <c r="C121" s="20">
        <f>IFERROR(IF(A121&lt;='EMI Calculator'!B7,G120,""),"")</f>
        <v/>
      </c>
      <c r="D121" s="20">
        <f>IFERROR(IF(A121&lt;='EMI Calculator'!B7,'EMI Calculator'!B11,""),"")</f>
        <v/>
      </c>
      <c r="E121" s="20">
        <f>IFERROR(IF(A121&lt;='EMI Calculator'!B7,D121-F121,""),"")</f>
        <v/>
      </c>
      <c r="F121" s="20">
        <f>IFERROR(IF(A121&lt;='EMI Calculator'!B7,C121*'EMI Calculator'!B6/12,""),"")</f>
        <v/>
      </c>
      <c r="G121" s="20">
        <f>IFERROR(IF(A121&lt;='EMI Calculator'!B7,MAX(C121-E121,0),""),"")</f>
        <v/>
      </c>
      <c r="H121" s="20">
        <f>IFERROR(IF(A121&lt;='EMI Calculator'!B7,H120+F121,""),"")</f>
        <v/>
      </c>
      <c r="I121" s="20">
        <f>IFERROR(IF(A121&lt;='EMI Calculator'!B7,I120+E121,""),"")</f>
        <v/>
      </c>
    </row>
    <row r="122">
      <c r="A122" s="21" t="n">
        <v>119</v>
      </c>
      <c r="B122" s="22">
        <f>IFERROR(DATE(YEAR(B121),MONTH(B121)+1,DAY(B121)),"")</f>
        <v/>
      </c>
      <c r="C122" s="23">
        <f>IFERROR(IF(A122&lt;='EMI Calculator'!B7,G121,""),"")</f>
        <v/>
      </c>
      <c r="D122" s="23">
        <f>IFERROR(IF(A122&lt;='EMI Calculator'!B7,'EMI Calculator'!B11,""),"")</f>
        <v/>
      </c>
      <c r="E122" s="23">
        <f>IFERROR(IF(A122&lt;='EMI Calculator'!B7,D122-F122,""),"")</f>
        <v/>
      </c>
      <c r="F122" s="23">
        <f>IFERROR(IF(A122&lt;='EMI Calculator'!B7,C122*'EMI Calculator'!B6/12,""),"")</f>
        <v/>
      </c>
      <c r="G122" s="23">
        <f>IFERROR(IF(A122&lt;='EMI Calculator'!B7,MAX(C122-E122,0),""),"")</f>
        <v/>
      </c>
      <c r="H122" s="23">
        <f>IFERROR(IF(A122&lt;='EMI Calculator'!B7,H121+F122,""),"")</f>
        <v/>
      </c>
      <c r="I122" s="23">
        <f>IFERROR(IF(A122&lt;='EMI Calculator'!B7,I121+E122,""),"")</f>
        <v/>
      </c>
    </row>
    <row r="123">
      <c r="A123" s="18" t="n">
        <v>120</v>
      </c>
      <c r="B123" s="19">
        <f>IFERROR(DATE(YEAR(B122),MONTH(B122)+1,DAY(B122)),"")</f>
        <v/>
      </c>
      <c r="C123" s="20">
        <f>IFERROR(IF(A123&lt;='EMI Calculator'!B7,G122,""),"")</f>
        <v/>
      </c>
      <c r="D123" s="20">
        <f>IFERROR(IF(A123&lt;='EMI Calculator'!B7,'EMI Calculator'!B11,""),"")</f>
        <v/>
      </c>
      <c r="E123" s="20">
        <f>IFERROR(IF(A123&lt;='EMI Calculator'!B7,D123-F123,""),"")</f>
        <v/>
      </c>
      <c r="F123" s="20">
        <f>IFERROR(IF(A123&lt;='EMI Calculator'!B7,C123*'EMI Calculator'!B6/12,""),"")</f>
        <v/>
      </c>
      <c r="G123" s="20">
        <f>IFERROR(IF(A123&lt;='EMI Calculator'!B7,MAX(C123-E123,0),""),"")</f>
        <v/>
      </c>
      <c r="H123" s="20">
        <f>IFERROR(IF(A123&lt;='EMI Calculator'!B7,H122+F123,""),"")</f>
        <v/>
      </c>
      <c r="I123" s="20">
        <f>IFERROR(IF(A123&lt;='EMI Calculator'!B7,I122+E123,""),"")</f>
        <v/>
      </c>
    </row>
    <row r="124">
      <c r="A124" s="21" t="n">
        <v>121</v>
      </c>
      <c r="B124" s="22">
        <f>IFERROR(DATE(YEAR(B123),MONTH(B123)+1,DAY(B123)),"")</f>
        <v/>
      </c>
      <c r="C124" s="23">
        <f>IFERROR(IF(A124&lt;='EMI Calculator'!B7,G123,""),"")</f>
        <v/>
      </c>
      <c r="D124" s="23">
        <f>IFERROR(IF(A124&lt;='EMI Calculator'!B7,'EMI Calculator'!B11,""),"")</f>
        <v/>
      </c>
      <c r="E124" s="23">
        <f>IFERROR(IF(A124&lt;='EMI Calculator'!B7,D124-F124,""),"")</f>
        <v/>
      </c>
      <c r="F124" s="23">
        <f>IFERROR(IF(A124&lt;='EMI Calculator'!B7,C124*'EMI Calculator'!B6/12,""),"")</f>
        <v/>
      </c>
      <c r="G124" s="23">
        <f>IFERROR(IF(A124&lt;='EMI Calculator'!B7,MAX(C124-E124,0),""),"")</f>
        <v/>
      </c>
      <c r="H124" s="23">
        <f>IFERROR(IF(A124&lt;='EMI Calculator'!B7,H123+F124,""),"")</f>
        <v/>
      </c>
      <c r="I124" s="23">
        <f>IFERROR(IF(A124&lt;='EMI Calculator'!B7,I123+E124,""),"")</f>
        <v/>
      </c>
    </row>
    <row r="125">
      <c r="A125" s="18" t="n">
        <v>122</v>
      </c>
      <c r="B125" s="19">
        <f>IFERROR(DATE(YEAR(B124),MONTH(B124)+1,DAY(B124)),"")</f>
        <v/>
      </c>
      <c r="C125" s="20">
        <f>IFERROR(IF(A125&lt;='EMI Calculator'!B7,G124,""),"")</f>
        <v/>
      </c>
      <c r="D125" s="20">
        <f>IFERROR(IF(A125&lt;='EMI Calculator'!B7,'EMI Calculator'!B11,""),"")</f>
        <v/>
      </c>
      <c r="E125" s="20">
        <f>IFERROR(IF(A125&lt;='EMI Calculator'!B7,D125-F125,""),"")</f>
        <v/>
      </c>
      <c r="F125" s="20">
        <f>IFERROR(IF(A125&lt;='EMI Calculator'!B7,C125*'EMI Calculator'!B6/12,""),"")</f>
        <v/>
      </c>
      <c r="G125" s="20">
        <f>IFERROR(IF(A125&lt;='EMI Calculator'!B7,MAX(C125-E125,0),""),"")</f>
        <v/>
      </c>
      <c r="H125" s="20">
        <f>IFERROR(IF(A125&lt;='EMI Calculator'!B7,H124+F125,""),"")</f>
        <v/>
      </c>
      <c r="I125" s="20">
        <f>IFERROR(IF(A125&lt;='EMI Calculator'!B7,I124+E125,""),"")</f>
        <v/>
      </c>
    </row>
    <row r="126">
      <c r="A126" s="21" t="n">
        <v>123</v>
      </c>
      <c r="B126" s="22">
        <f>IFERROR(DATE(YEAR(B125),MONTH(B125)+1,DAY(B125)),"")</f>
        <v/>
      </c>
      <c r="C126" s="23">
        <f>IFERROR(IF(A126&lt;='EMI Calculator'!B7,G125,""),"")</f>
        <v/>
      </c>
      <c r="D126" s="23">
        <f>IFERROR(IF(A126&lt;='EMI Calculator'!B7,'EMI Calculator'!B11,""),"")</f>
        <v/>
      </c>
      <c r="E126" s="23">
        <f>IFERROR(IF(A126&lt;='EMI Calculator'!B7,D126-F126,""),"")</f>
        <v/>
      </c>
      <c r="F126" s="23">
        <f>IFERROR(IF(A126&lt;='EMI Calculator'!B7,C126*'EMI Calculator'!B6/12,""),"")</f>
        <v/>
      </c>
      <c r="G126" s="23">
        <f>IFERROR(IF(A126&lt;='EMI Calculator'!B7,MAX(C126-E126,0),""),"")</f>
        <v/>
      </c>
      <c r="H126" s="23">
        <f>IFERROR(IF(A126&lt;='EMI Calculator'!B7,H125+F126,""),"")</f>
        <v/>
      </c>
      <c r="I126" s="23">
        <f>IFERROR(IF(A126&lt;='EMI Calculator'!B7,I125+E126,""),"")</f>
        <v/>
      </c>
    </row>
    <row r="127">
      <c r="A127" s="18" t="n">
        <v>124</v>
      </c>
      <c r="B127" s="19">
        <f>IFERROR(DATE(YEAR(B126),MONTH(B126)+1,DAY(B126)),"")</f>
        <v/>
      </c>
      <c r="C127" s="20">
        <f>IFERROR(IF(A127&lt;='EMI Calculator'!B7,G126,""),"")</f>
        <v/>
      </c>
      <c r="D127" s="20">
        <f>IFERROR(IF(A127&lt;='EMI Calculator'!B7,'EMI Calculator'!B11,""),"")</f>
        <v/>
      </c>
      <c r="E127" s="20">
        <f>IFERROR(IF(A127&lt;='EMI Calculator'!B7,D127-F127,""),"")</f>
        <v/>
      </c>
      <c r="F127" s="20">
        <f>IFERROR(IF(A127&lt;='EMI Calculator'!B7,C127*'EMI Calculator'!B6/12,""),"")</f>
        <v/>
      </c>
      <c r="G127" s="20">
        <f>IFERROR(IF(A127&lt;='EMI Calculator'!B7,MAX(C127-E127,0),""),"")</f>
        <v/>
      </c>
      <c r="H127" s="20">
        <f>IFERROR(IF(A127&lt;='EMI Calculator'!B7,H126+F127,""),"")</f>
        <v/>
      </c>
      <c r="I127" s="20">
        <f>IFERROR(IF(A127&lt;='EMI Calculator'!B7,I126+E127,""),"")</f>
        <v/>
      </c>
    </row>
    <row r="128">
      <c r="A128" s="21" t="n">
        <v>125</v>
      </c>
      <c r="B128" s="22">
        <f>IFERROR(DATE(YEAR(B127),MONTH(B127)+1,DAY(B127)),"")</f>
        <v/>
      </c>
      <c r="C128" s="23">
        <f>IFERROR(IF(A128&lt;='EMI Calculator'!B7,G127,""),"")</f>
        <v/>
      </c>
      <c r="D128" s="23">
        <f>IFERROR(IF(A128&lt;='EMI Calculator'!B7,'EMI Calculator'!B11,""),"")</f>
        <v/>
      </c>
      <c r="E128" s="23">
        <f>IFERROR(IF(A128&lt;='EMI Calculator'!B7,D128-F128,""),"")</f>
        <v/>
      </c>
      <c r="F128" s="23">
        <f>IFERROR(IF(A128&lt;='EMI Calculator'!B7,C128*'EMI Calculator'!B6/12,""),"")</f>
        <v/>
      </c>
      <c r="G128" s="23">
        <f>IFERROR(IF(A128&lt;='EMI Calculator'!B7,MAX(C128-E128,0),""),"")</f>
        <v/>
      </c>
      <c r="H128" s="23">
        <f>IFERROR(IF(A128&lt;='EMI Calculator'!B7,H127+F128,""),"")</f>
        <v/>
      </c>
      <c r="I128" s="23">
        <f>IFERROR(IF(A128&lt;='EMI Calculator'!B7,I127+E128,""),"")</f>
        <v/>
      </c>
    </row>
    <row r="129">
      <c r="A129" s="18" t="n">
        <v>126</v>
      </c>
      <c r="B129" s="19">
        <f>IFERROR(DATE(YEAR(B128),MONTH(B128)+1,DAY(B128)),"")</f>
        <v/>
      </c>
      <c r="C129" s="20">
        <f>IFERROR(IF(A129&lt;='EMI Calculator'!B7,G128,""),"")</f>
        <v/>
      </c>
      <c r="D129" s="20">
        <f>IFERROR(IF(A129&lt;='EMI Calculator'!B7,'EMI Calculator'!B11,""),"")</f>
        <v/>
      </c>
      <c r="E129" s="20">
        <f>IFERROR(IF(A129&lt;='EMI Calculator'!B7,D129-F129,""),"")</f>
        <v/>
      </c>
      <c r="F129" s="20">
        <f>IFERROR(IF(A129&lt;='EMI Calculator'!B7,C129*'EMI Calculator'!B6/12,""),"")</f>
        <v/>
      </c>
      <c r="G129" s="20">
        <f>IFERROR(IF(A129&lt;='EMI Calculator'!B7,MAX(C129-E129,0),""),"")</f>
        <v/>
      </c>
      <c r="H129" s="20">
        <f>IFERROR(IF(A129&lt;='EMI Calculator'!B7,H128+F129,""),"")</f>
        <v/>
      </c>
      <c r="I129" s="20">
        <f>IFERROR(IF(A129&lt;='EMI Calculator'!B7,I128+E129,""),"")</f>
        <v/>
      </c>
    </row>
    <row r="130">
      <c r="A130" s="21" t="n">
        <v>127</v>
      </c>
      <c r="B130" s="22">
        <f>IFERROR(DATE(YEAR(B129),MONTH(B129)+1,DAY(B129)),"")</f>
        <v/>
      </c>
      <c r="C130" s="23">
        <f>IFERROR(IF(A130&lt;='EMI Calculator'!B7,G129,""),"")</f>
        <v/>
      </c>
      <c r="D130" s="23">
        <f>IFERROR(IF(A130&lt;='EMI Calculator'!B7,'EMI Calculator'!B11,""),"")</f>
        <v/>
      </c>
      <c r="E130" s="23">
        <f>IFERROR(IF(A130&lt;='EMI Calculator'!B7,D130-F130,""),"")</f>
        <v/>
      </c>
      <c r="F130" s="23">
        <f>IFERROR(IF(A130&lt;='EMI Calculator'!B7,C130*'EMI Calculator'!B6/12,""),"")</f>
        <v/>
      </c>
      <c r="G130" s="23">
        <f>IFERROR(IF(A130&lt;='EMI Calculator'!B7,MAX(C130-E130,0),""),"")</f>
        <v/>
      </c>
      <c r="H130" s="23">
        <f>IFERROR(IF(A130&lt;='EMI Calculator'!B7,H129+F130,""),"")</f>
        <v/>
      </c>
      <c r="I130" s="23">
        <f>IFERROR(IF(A130&lt;='EMI Calculator'!B7,I129+E130,""),"")</f>
        <v/>
      </c>
    </row>
    <row r="131">
      <c r="A131" s="18" t="n">
        <v>128</v>
      </c>
      <c r="B131" s="19">
        <f>IFERROR(DATE(YEAR(B130),MONTH(B130)+1,DAY(B130)),"")</f>
        <v/>
      </c>
      <c r="C131" s="20">
        <f>IFERROR(IF(A131&lt;='EMI Calculator'!B7,G130,""),"")</f>
        <v/>
      </c>
      <c r="D131" s="20">
        <f>IFERROR(IF(A131&lt;='EMI Calculator'!B7,'EMI Calculator'!B11,""),"")</f>
        <v/>
      </c>
      <c r="E131" s="20">
        <f>IFERROR(IF(A131&lt;='EMI Calculator'!B7,D131-F131,""),"")</f>
        <v/>
      </c>
      <c r="F131" s="20">
        <f>IFERROR(IF(A131&lt;='EMI Calculator'!B7,C131*'EMI Calculator'!B6/12,""),"")</f>
        <v/>
      </c>
      <c r="G131" s="20">
        <f>IFERROR(IF(A131&lt;='EMI Calculator'!B7,MAX(C131-E131,0),""),"")</f>
        <v/>
      </c>
      <c r="H131" s="20">
        <f>IFERROR(IF(A131&lt;='EMI Calculator'!B7,H130+F131,""),"")</f>
        <v/>
      </c>
      <c r="I131" s="20">
        <f>IFERROR(IF(A131&lt;='EMI Calculator'!B7,I130+E131,""),"")</f>
        <v/>
      </c>
    </row>
    <row r="132">
      <c r="A132" s="21" t="n">
        <v>129</v>
      </c>
      <c r="B132" s="22">
        <f>IFERROR(DATE(YEAR(B131),MONTH(B131)+1,DAY(B131)),"")</f>
        <v/>
      </c>
      <c r="C132" s="23">
        <f>IFERROR(IF(A132&lt;='EMI Calculator'!B7,G131,""),"")</f>
        <v/>
      </c>
      <c r="D132" s="23">
        <f>IFERROR(IF(A132&lt;='EMI Calculator'!B7,'EMI Calculator'!B11,""),"")</f>
        <v/>
      </c>
      <c r="E132" s="23">
        <f>IFERROR(IF(A132&lt;='EMI Calculator'!B7,D132-F132,""),"")</f>
        <v/>
      </c>
      <c r="F132" s="23">
        <f>IFERROR(IF(A132&lt;='EMI Calculator'!B7,C132*'EMI Calculator'!B6/12,""),"")</f>
        <v/>
      </c>
      <c r="G132" s="23">
        <f>IFERROR(IF(A132&lt;='EMI Calculator'!B7,MAX(C132-E132,0),""),"")</f>
        <v/>
      </c>
      <c r="H132" s="23">
        <f>IFERROR(IF(A132&lt;='EMI Calculator'!B7,H131+F132,""),"")</f>
        <v/>
      </c>
      <c r="I132" s="23">
        <f>IFERROR(IF(A132&lt;='EMI Calculator'!B7,I131+E132,""),"")</f>
        <v/>
      </c>
    </row>
    <row r="133">
      <c r="A133" s="18" t="n">
        <v>130</v>
      </c>
      <c r="B133" s="19">
        <f>IFERROR(DATE(YEAR(B132),MONTH(B132)+1,DAY(B132)),"")</f>
        <v/>
      </c>
      <c r="C133" s="20">
        <f>IFERROR(IF(A133&lt;='EMI Calculator'!B7,G132,""),"")</f>
        <v/>
      </c>
      <c r="D133" s="20">
        <f>IFERROR(IF(A133&lt;='EMI Calculator'!B7,'EMI Calculator'!B11,""),"")</f>
        <v/>
      </c>
      <c r="E133" s="20">
        <f>IFERROR(IF(A133&lt;='EMI Calculator'!B7,D133-F133,""),"")</f>
        <v/>
      </c>
      <c r="F133" s="20">
        <f>IFERROR(IF(A133&lt;='EMI Calculator'!B7,C133*'EMI Calculator'!B6/12,""),"")</f>
        <v/>
      </c>
      <c r="G133" s="20">
        <f>IFERROR(IF(A133&lt;='EMI Calculator'!B7,MAX(C133-E133,0),""),"")</f>
        <v/>
      </c>
      <c r="H133" s="20">
        <f>IFERROR(IF(A133&lt;='EMI Calculator'!B7,H132+F133,""),"")</f>
        <v/>
      </c>
      <c r="I133" s="20">
        <f>IFERROR(IF(A133&lt;='EMI Calculator'!B7,I132+E133,""),"")</f>
        <v/>
      </c>
    </row>
    <row r="134">
      <c r="A134" s="21" t="n">
        <v>131</v>
      </c>
      <c r="B134" s="22">
        <f>IFERROR(DATE(YEAR(B133),MONTH(B133)+1,DAY(B133)),"")</f>
        <v/>
      </c>
      <c r="C134" s="23">
        <f>IFERROR(IF(A134&lt;='EMI Calculator'!B7,G133,""),"")</f>
        <v/>
      </c>
      <c r="D134" s="23">
        <f>IFERROR(IF(A134&lt;='EMI Calculator'!B7,'EMI Calculator'!B11,""),"")</f>
        <v/>
      </c>
      <c r="E134" s="23">
        <f>IFERROR(IF(A134&lt;='EMI Calculator'!B7,D134-F134,""),"")</f>
        <v/>
      </c>
      <c r="F134" s="23">
        <f>IFERROR(IF(A134&lt;='EMI Calculator'!B7,C134*'EMI Calculator'!B6/12,""),"")</f>
        <v/>
      </c>
      <c r="G134" s="23">
        <f>IFERROR(IF(A134&lt;='EMI Calculator'!B7,MAX(C134-E134,0),""),"")</f>
        <v/>
      </c>
      <c r="H134" s="23">
        <f>IFERROR(IF(A134&lt;='EMI Calculator'!B7,H133+F134,""),"")</f>
        <v/>
      </c>
      <c r="I134" s="23">
        <f>IFERROR(IF(A134&lt;='EMI Calculator'!B7,I133+E134,""),"")</f>
        <v/>
      </c>
    </row>
    <row r="135">
      <c r="A135" s="18" t="n">
        <v>132</v>
      </c>
      <c r="B135" s="19">
        <f>IFERROR(DATE(YEAR(B134),MONTH(B134)+1,DAY(B134)),"")</f>
        <v/>
      </c>
      <c r="C135" s="20">
        <f>IFERROR(IF(A135&lt;='EMI Calculator'!B7,G134,""),"")</f>
        <v/>
      </c>
      <c r="D135" s="20">
        <f>IFERROR(IF(A135&lt;='EMI Calculator'!B7,'EMI Calculator'!B11,""),"")</f>
        <v/>
      </c>
      <c r="E135" s="20">
        <f>IFERROR(IF(A135&lt;='EMI Calculator'!B7,D135-F135,""),"")</f>
        <v/>
      </c>
      <c r="F135" s="20">
        <f>IFERROR(IF(A135&lt;='EMI Calculator'!B7,C135*'EMI Calculator'!B6/12,""),"")</f>
        <v/>
      </c>
      <c r="G135" s="20">
        <f>IFERROR(IF(A135&lt;='EMI Calculator'!B7,MAX(C135-E135,0),""),"")</f>
        <v/>
      </c>
      <c r="H135" s="20">
        <f>IFERROR(IF(A135&lt;='EMI Calculator'!B7,H134+F135,""),"")</f>
        <v/>
      </c>
      <c r="I135" s="20">
        <f>IFERROR(IF(A135&lt;='EMI Calculator'!B7,I134+E135,""),"")</f>
        <v/>
      </c>
    </row>
    <row r="136">
      <c r="A136" s="21" t="n">
        <v>133</v>
      </c>
      <c r="B136" s="22">
        <f>IFERROR(DATE(YEAR(B135),MONTH(B135)+1,DAY(B135)),"")</f>
        <v/>
      </c>
      <c r="C136" s="23">
        <f>IFERROR(IF(A136&lt;='EMI Calculator'!B7,G135,""),"")</f>
        <v/>
      </c>
      <c r="D136" s="23">
        <f>IFERROR(IF(A136&lt;='EMI Calculator'!B7,'EMI Calculator'!B11,""),"")</f>
        <v/>
      </c>
      <c r="E136" s="23">
        <f>IFERROR(IF(A136&lt;='EMI Calculator'!B7,D136-F136,""),"")</f>
        <v/>
      </c>
      <c r="F136" s="23">
        <f>IFERROR(IF(A136&lt;='EMI Calculator'!B7,C136*'EMI Calculator'!B6/12,""),"")</f>
        <v/>
      </c>
      <c r="G136" s="23">
        <f>IFERROR(IF(A136&lt;='EMI Calculator'!B7,MAX(C136-E136,0),""),"")</f>
        <v/>
      </c>
      <c r="H136" s="23">
        <f>IFERROR(IF(A136&lt;='EMI Calculator'!B7,H135+F136,""),"")</f>
        <v/>
      </c>
      <c r="I136" s="23">
        <f>IFERROR(IF(A136&lt;='EMI Calculator'!B7,I135+E136,""),"")</f>
        <v/>
      </c>
    </row>
    <row r="137">
      <c r="A137" s="18" t="n">
        <v>134</v>
      </c>
      <c r="B137" s="19">
        <f>IFERROR(DATE(YEAR(B136),MONTH(B136)+1,DAY(B136)),"")</f>
        <v/>
      </c>
      <c r="C137" s="20">
        <f>IFERROR(IF(A137&lt;='EMI Calculator'!B7,G136,""),"")</f>
        <v/>
      </c>
      <c r="D137" s="20">
        <f>IFERROR(IF(A137&lt;='EMI Calculator'!B7,'EMI Calculator'!B11,""),"")</f>
        <v/>
      </c>
      <c r="E137" s="20">
        <f>IFERROR(IF(A137&lt;='EMI Calculator'!B7,D137-F137,""),"")</f>
        <v/>
      </c>
      <c r="F137" s="20">
        <f>IFERROR(IF(A137&lt;='EMI Calculator'!B7,C137*'EMI Calculator'!B6/12,""),"")</f>
        <v/>
      </c>
      <c r="G137" s="20">
        <f>IFERROR(IF(A137&lt;='EMI Calculator'!B7,MAX(C137-E137,0),""),"")</f>
        <v/>
      </c>
      <c r="H137" s="20">
        <f>IFERROR(IF(A137&lt;='EMI Calculator'!B7,H136+F137,""),"")</f>
        <v/>
      </c>
      <c r="I137" s="20">
        <f>IFERROR(IF(A137&lt;='EMI Calculator'!B7,I136+E137,""),"")</f>
        <v/>
      </c>
    </row>
    <row r="138">
      <c r="A138" s="21" t="n">
        <v>135</v>
      </c>
      <c r="B138" s="22">
        <f>IFERROR(DATE(YEAR(B137),MONTH(B137)+1,DAY(B137)),"")</f>
        <v/>
      </c>
      <c r="C138" s="23">
        <f>IFERROR(IF(A138&lt;='EMI Calculator'!B7,G137,""),"")</f>
        <v/>
      </c>
      <c r="D138" s="23">
        <f>IFERROR(IF(A138&lt;='EMI Calculator'!B7,'EMI Calculator'!B11,""),"")</f>
        <v/>
      </c>
      <c r="E138" s="23">
        <f>IFERROR(IF(A138&lt;='EMI Calculator'!B7,D138-F138,""),"")</f>
        <v/>
      </c>
      <c r="F138" s="23">
        <f>IFERROR(IF(A138&lt;='EMI Calculator'!B7,C138*'EMI Calculator'!B6/12,""),"")</f>
        <v/>
      </c>
      <c r="G138" s="23">
        <f>IFERROR(IF(A138&lt;='EMI Calculator'!B7,MAX(C138-E138,0),""),"")</f>
        <v/>
      </c>
      <c r="H138" s="23">
        <f>IFERROR(IF(A138&lt;='EMI Calculator'!B7,H137+F138,""),"")</f>
        <v/>
      </c>
      <c r="I138" s="23">
        <f>IFERROR(IF(A138&lt;='EMI Calculator'!B7,I137+E138,""),"")</f>
        <v/>
      </c>
    </row>
    <row r="139">
      <c r="A139" s="18" t="n">
        <v>136</v>
      </c>
      <c r="B139" s="19">
        <f>IFERROR(DATE(YEAR(B138),MONTH(B138)+1,DAY(B138)),"")</f>
        <v/>
      </c>
      <c r="C139" s="20">
        <f>IFERROR(IF(A139&lt;='EMI Calculator'!B7,G138,""),"")</f>
        <v/>
      </c>
      <c r="D139" s="20">
        <f>IFERROR(IF(A139&lt;='EMI Calculator'!B7,'EMI Calculator'!B11,""),"")</f>
        <v/>
      </c>
      <c r="E139" s="20">
        <f>IFERROR(IF(A139&lt;='EMI Calculator'!B7,D139-F139,""),"")</f>
        <v/>
      </c>
      <c r="F139" s="20">
        <f>IFERROR(IF(A139&lt;='EMI Calculator'!B7,C139*'EMI Calculator'!B6/12,""),"")</f>
        <v/>
      </c>
      <c r="G139" s="20">
        <f>IFERROR(IF(A139&lt;='EMI Calculator'!B7,MAX(C139-E139,0),""),"")</f>
        <v/>
      </c>
      <c r="H139" s="20">
        <f>IFERROR(IF(A139&lt;='EMI Calculator'!B7,H138+F139,""),"")</f>
        <v/>
      </c>
      <c r="I139" s="20">
        <f>IFERROR(IF(A139&lt;='EMI Calculator'!B7,I138+E139,""),"")</f>
        <v/>
      </c>
    </row>
    <row r="140">
      <c r="A140" s="21" t="n">
        <v>137</v>
      </c>
      <c r="B140" s="22">
        <f>IFERROR(DATE(YEAR(B139),MONTH(B139)+1,DAY(B139)),"")</f>
        <v/>
      </c>
      <c r="C140" s="23">
        <f>IFERROR(IF(A140&lt;='EMI Calculator'!B7,G139,""),"")</f>
        <v/>
      </c>
      <c r="D140" s="23">
        <f>IFERROR(IF(A140&lt;='EMI Calculator'!B7,'EMI Calculator'!B11,""),"")</f>
        <v/>
      </c>
      <c r="E140" s="23">
        <f>IFERROR(IF(A140&lt;='EMI Calculator'!B7,D140-F140,""),"")</f>
        <v/>
      </c>
      <c r="F140" s="23">
        <f>IFERROR(IF(A140&lt;='EMI Calculator'!B7,C140*'EMI Calculator'!B6/12,""),"")</f>
        <v/>
      </c>
      <c r="G140" s="23">
        <f>IFERROR(IF(A140&lt;='EMI Calculator'!B7,MAX(C140-E140,0),""),"")</f>
        <v/>
      </c>
      <c r="H140" s="23">
        <f>IFERROR(IF(A140&lt;='EMI Calculator'!B7,H139+F140,""),"")</f>
        <v/>
      </c>
      <c r="I140" s="23">
        <f>IFERROR(IF(A140&lt;='EMI Calculator'!B7,I139+E140,""),"")</f>
        <v/>
      </c>
    </row>
    <row r="141">
      <c r="A141" s="18" t="n">
        <v>138</v>
      </c>
      <c r="B141" s="19">
        <f>IFERROR(DATE(YEAR(B140),MONTH(B140)+1,DAY(B140)),"")</f>
        <v/>
      </c>
      <c r="C141" s="20">
        <f>IFERROR(IF(A141&lt;='EMI Calculator'!B7,G140,""),"")</f>
        <v/>
      </c>
      <c r="D141" s="20">
        <f>IFERROR(IF(A141&lt;='EMI Calculator'!B7,'EMI Calculator'!B11,""),"")</f>
        <v/>
      </c>
      <c r="E141" s="20">
        <f>IFERROR(IF(A141&lt;='EMI Calculator'!B7,D141-F141,""),"")</f>
        <v/>
      </c>
      <c r="F141" s="20">
        <f>IFERROR(IF(A141&lt;='EMI Calculator'!B7,C141*'EMI Calculator'!B6/12,""),"")</f>
        <v/>
      </c>
      <c r="G141" s="20">
        <f>IFERROR(IF(A141&lt;='EMI Calculator'!B7,MAX(C141-E141,0),""),"")</f>
        <v/>
      </c>
      <c r="H141" s="20">
        <f>IFERROR(IF(A141&lt;='EMI Calculator'!B7,H140+F141,""),"")</f>
        <v/>
      </c>
      <c r="I141" s="20">
        <f>IFERROR(IF(A141&lt;='EMI Calculator'!B7,I140+E141,""),"")</f>
        <v/>
      </c>
    </row>
    <row r="142">
      <c r="A142" s="21" t="n">
        <v>139</v>
      </c>
      <c r="B142" s="22">
        <f>IFERROR(DATE(YEAR(B141),MONTH(B141)+1,DAY(B141)),"")</f>
        <v/>
      </c>
      <c r="C142" s="23">
        <f>IFERROR(IF(A142&lt;='EMI Calculator'!B7,G141,""),"")</f>
        <v/>
      </c>
      <c r="D142" s="23">
        <f>IFERROR(IF(A142&lt;='EMI Calculator'!B7,'EMI Calculator'!B11,""),"")</f>
        <v/>
      </c>
      <c r="E142" s="23">
        <f>IFERROR(IF(A142&lt;='EMI Calculator'!B7,D142-F142,""),"")</f>
        <v/>
      </c>
      <c r="F142" s="23">
        <f>IFERROR(IF(A142&lt;='EMI Calculator'!B7,C142*'EMI Calculator'!B6/12,""),"")</f>
        <v/>
      </c>
      <c r="G142" s="23">
        <f>IFERROR(IF(A142&lt;='EMI Calculator'!B7,MAX(C142-E142,0),""),"")</f>
        <v/>
      </c>
      <c r="H142" s="23">
        <f>IFERROR(IF(A142&lt;='EMI Calculator'!B7,H141+F142,""),"")</f>
        <v/>
      </c>
      <c r="I142" s="23">
        <f>IFERROR(IF(A142&lt;='EMI Calculator'!B7,I141+E142,""),"")</f>
        <v/>
      </c>
    </row>
    <row r="143">
      <c r="A143" s="18" t="n">
        <v>140</v>
      </c>
      <c r="B143" s="19">
        <f>IFERROR(DATE(YEAR(B142),MONTH(B142)+1,DAY(B142)),"")</f>
        <v/>
      </c>
      <c r="C143" s="20">
        <f>IFERROR(IF(A143&lt;='EMI Calculator'!B7,G142,""),"")</f>
        <v/>
      </c>
      <c r="D143" s="20">
        <f>IFERROR(IF(A143&lt;='EMI Calculator'!B7,'EMI Calculator'!B11,""),"")</f>
        <v/>
      </c>
      <c r="E143" s="20">
        <f>IFERROR(IF(A143&lt;='EMI Calculator'!B7,D143-F143,""),"")</f>
        <v/>
      </c>
      <c r="F143" s="20">
        <f>IFERROR(IF(A143&lt;='EMI Calculator'!B7,C143*'EMI Calculator'!B6/12,""),"")</f>
        <v/>
      </c>
      <c r="G143" s="20">
        <f>IFERROR(IF(A143&lt;='EMI Calculator'!B7,MAX(C143-E143,0),""),"")</f>
        <v/>
      </c>
      <c r="H143" s="20">
        <f>IFERROR(IF(A143&lt;='EMI Calculator'!B7,H142+F143,""),"")</f>
        <v/>
      </c>
      <c r="I143" s="20">
        <f>IFERROR(IF(A143&lt;='EMI Calculator'!B7,I142+E143,""),"")</f>
        <v/>
      </c>
    </row>
    <row r="144">
      <c r="A144" s="21" t="n">
        <v>141</v>
      </c>
      <c r="B144" s="22">
        <f>IFERROR(DATE(YEAR(B143),MONTH(B143)+1,DAY(B143)),"")</f>
        <v/>
      </c>
      <c r="C144" s="23">
        <f>IFERROR(IF(A144&lt;='EMI Calculator'!B7,G143,""),"")</f>
        <v/>
      </c>
      <c r="D144" s="23">
        <f>IFERROR(IF(A144&lt;='EMI Calculator'!B7,'EMI Calculator'!B11,""),"")</f>
        <v/>
      </c>
      <c r="E144" s="23">
        <f>IFERROR(IF(A144&lt;='EMI Calculator'!B7,D144-F144,""),"")</f>
        <v/>
      </c>
      <c r="F144" s="23">
        <f>IFERROR(IF(A144&lt;='EMI Calculator'!B7,C144*'EMI Calculator'!B6/12,""),"")</f>
        <v/>
      </c>
      <c r="G144" s="23">
        <f>IFERROR(IF(A144&lt;='EMI Calculator'!B7,MAX(C144-E144,0),""),"")</f>
        <v/>
      </c>
      <c r="H144" s="23">
        <f>IFERROR(IF(A144&lt;='EMI Calculator'!B7,H143+F144,""),"")</f>
        <v/>
      </c>
      <c r="I144" s="23">
        <f>IFERROR(IF(A144&lt;='EMI Calculator'!B7,I143+E144,""),"")</f>
        <v/>
      </c>
    </row>
    <row r="145">
      <c r="A145" s="18" t="n">
        <v>142</v>
      </c>
      <c r="B145" s="19">
        <f>IFERROR(DATE(YEAR(B144),MONTH(B144)+1,DAY(B144)),"")</f>
        <v/>
      </c>
      <c r="C145" s="20">
        <f>IFERROR(IF(A145&lt;='EMI Calculator'!B7,G144,""),"")</f>
        <v/>
      </c>
      <c r="D145" s="20">
        <f>IFERROR(IF(A145&lt;='EMI Calculator'!B7,'EMI Calculator'!B11,""),"")</f>
        <v/>
      </c>
      <c r="E145" s="20">
        <f>IFERROR(IF(A145&lt;='EMI Calculator'!B7,D145-F145,""),"")</f>
        <v/>
      </c>
      <c r="F145" s="20">
        <f>IFERROR(IF(A145&lt;='EMI Calculator'!B7,C145*'EMI Calculator'!B6/12,""),"")</f>
        <v/>
      </c>
      <c r="G145" s="20">
        <f>IFERROR(IF(A145&lt;='EMI Calculator'!B7,MAX(C145-E145,0),""),"")</f>
        <v/>
      </c>
      <c r="H145" s="20">
        <f>IFERROR(IF(A145&lt;='EMI Calculator'!B7,H144+F145,""),"")</f>
        <v/>
      </c>
      <c r="I145" s="20">
        <f>IFERROR(IF(A145&lt;='EMI Calculator'!B7,I144+E145,""),"")</f>
        <v/>
      </c>
    </row>
    <row r="146">
      <c r="A146" s="21" t="n">
        <v>143</v>
      </c>
      <c r="B146" s="22">
        <f>IFERROR(DATE(YEAR(B145),MONTH(B145)+1,DAY(B145)),"")</f>
        <v/>
      </c>
      <c r="C146" s="23">
        <f>IFERROR(IF(A146&lt;='EMI Calculator'!B7,G145,""),"")</f>
        <v/>
      </c>
      <c r="D146" s="23">
        <f>IFERROR(IF(A146&lt;='EMI Calculator'!B7,'EMI Calculator'!B11,""),"")</f>
        <v/>
      </c>
      <c r="E146" s="23">
        <f>IFERROR(IF(A146&lt;='EMI Calculator'!B7,D146-F146,""),"")</f>
        <v/>
      </c>
      <c r="F146" s="23">
        <f>IFERROR(IF(A146&lt;='EMI Calculator'!B7,C146*'EMI Calculator'!B6/12,""),"")</f>
        <v/>
      </c>
      <c r="G146" s="23">
        <f>IFERROR(IF(A146&lt;='EMI Calculator'!B7,MAX(C146-E146,0),""),"")</f>
        <v/>
      </c>
      <c r="H146" s="23">
        <f>IFERROR(IF(A146&lt;='EMI Calculator'!B7,H145+F146,""),"")</f>
        <v/>
      </c>
      <c r="I146" s="23">
        <f>IFERROR(IF(A146&lt;='EMI Calculator'!B7,I145+E146,""),"")</f>
        <v/>
      </c>
    </row>
    <row r="147">
      <c r="A147" s="18" t="n">
        <v>144</v>
      </c>
      <c r="B147" s="19">
        <f>IFERROR(DATE(YEAR(B146),MONTH(B146)+1,DAY(B146)),"")</f>
        <v/>
      </c>
      <c r="C147" s="20">
        <f>IFERROR(IF(A147&lt;='EMI Calculator'!B7,G146,""),"")</f>
        <v/>
      </c>
      <c r="D147" s="20">
        <f>IFERROR(IF(A147&lt;='EMI Calculator'!B7,'EMI Calculator'!B11,""),"")</f>
        <v/>
      </c>
      <c r="E147" s="20">
        <f>IFERROR(IF(A147&lt;='EMI Calculator'!B7,D147-F147,""),"")</f>
        <v/>
      </c>
      <c r="F147" s="20">
        <f>IFERROR(IF(A147&lt;='EMI Calculator'!B7,C147*'EMI Calculator'!B6/12,""),"")</f>
        <v/>
      </c>
      <c r="G147" s="20">
        <f>IFERROR(IF(A147&lt;='EMI Calculator'!B7,MAX(C147-E147,0),""),"")</f>
        <v/>
      </c>
      <c r="H147" s="20">
        <f>IFERROR(IF(A147&lt;='EMI Calculator'!B7,H146+F147,""),"")</f>
        <v/>
      </c>
      <c r="I147" s="20">
        <f>IFERROR(IF(A147&lt;='EMI Calculator'!B7,I146+E147,""),"")</f>
        <v/>
      </c>
    </row>
    <row r="148">
      <c r="A148" s="21" t="n">
        <v>145</v>
      </c>
      <c r="B148" s="22">
        <f>IFERROR(DATE(YEAR(B147),MONTH(B147)+1,DAY(B147)),"")</f>
        <v/>
      </c>
      <c r="C148" s="23">
        <f>IFERROR(IF(A148&lt;='EMI Calculator'!B7,G147,""),"")</f>
        <v/>
      </c>
      <c r="D148" s="23">
        <f>IFERROR(IF(A148&lt;='EMI Calculator'!B7,'EMI Calculator'!B11,""),"")</f>
        <v/>
      </c>
      <c r="E148" s="23">
        <f>IFERROR(IF(A148&lt;='EMI Calculator'!B7,D148-F148,""),"")</f>
        <v/>
      </c>
      <c r="F148" s="23">
        <f>IFERROR(IF(A148&lt;='EMI Calculator'!B7,C148*'EMI Calculator'!B6/12,""),"")</f>
        <v/>
      </c>
      <c r="G148" s="23">
        <f>IFERROR(IF(A148&lt;='EMI Calculator'!B7,MAX(C148-E148,0),""),"")</f>
        <v/>
      </c>
      <c r="H148" s="23">
        <f>IFERROR(IF(A148&lt;='EMI Calculator'!B7,H147+F148,""),"")</f>
        <v/>
      </c>
      <c r="I148" s="23">
        <f>IFERROR(IF(A148&lt;='EMI Calculator'!B7,I147+E148,""),"")</f>
        <v/>
      </c>
    </row>
    <row r="149">
      <c r="A149" s="18" t="n">
        <v>146</v>
      </c>
      <c r="B149" s="19">
        <f>IFERROR(DATE(YEAR(B148),MONTH(B148)+1,DAY(B148)),"")</f>
        <v/>
      </c>
      <c r="C149" s="20">
        <f>IFERROR(IF(A149&lt;='EMI Calculator'!B7,G148,""),"")</f>
        <v/>
      </c>
      <c r="D149" s="20">
        <f>IFERROR(IF(A149&lt;='EMI Calculator'!B7,'EMI Calculator'!B11,""),"")</f>
        <v/>
      </c>
      <c r="E149" s="20">
        <f>IFERROR(IF(A149&lt;='EMI Calculator'!B7,D149-F149,""),"")</f>
        <v/>
      </c>
      <c r="F149" s="20">
        <f>IFERROR(IF(A149&lt;='EMI Calculator'!B7,C149*'EMI Calculator'!B6/12,""),"")</f>
        <v/>
      </c>
      <c r="G149" s="20">
        <f>IFERROR(IF(A149&lt;='EMI Calculator'!B7,MAX(C149-E149,0),""),"")</f>
        <v/>
      </c>
      <c r="H149" s="20">
        <f>IFERROR(IF(A149&lt;='EMI Calculator'!B7,H148+F149,""),"")</f>
        <v/>
      </c>
      <c r="I149" s="20">
        <f>IFERROR(IF(A149&lt;='EMI Calculator'!B7,I148+E149,""),"")</f>
        <v/>
      </c>
    </row>
    <row r="150">
      <c r="A150" s="21" t="n">
        <v>147</v>
      </c>
      <c r="B150" s="22">
        <f>IFERROR(DATE(YEAR(B149),MONTH(B149)+1,DAY(B149)),"")</f>
        <v/>
      </c>
      <c r="C150" s="23">
        <f>IFERROR(IF(A150&lt;='EMI Calculator'!B7,G149,""),"")</f>
        <v/>
      </c>
      <c r="D150" s="23">
        <f>IFERROR(IF(A150&lt;='EMI Calculator'!B7,'EMI Calculator'!B11,""),"")</f>
        <v/>
      </c>
      <c r="E150" s="23">
        <f>IFERROR(IF(A150&lt;='EMI Calculator'!B7,D150-F150,""),"")</f>
        <v/>
      </c>
      <c r="F150" s="23">
        <f>IFERROR(IF(A150&lt;='EMI Calculator'!B7,C150*'EMI Calculator'!B6/12,""),"")</f>
        <v/>
      </c>
      <c r="G150" s="23">
        <f>IFERROR(IF(A150&lt;='EMI Calculator'!B7,MAX(C150-E150,0),""),"")</f>
        <v/>
      </c>
      <c r="H150" s="23">
        <f>IFERROR(IF(A150&lt;='EMI Calculator'!B7,H149+F150,""),"")</f>
        <v/>
      </c>
      <c r="I150" s="23">
        <f>IFERROR(IF(A150&lt;='EMI Calculator'!B7,I149+E150,""),"")</f>
        <v/>
      </c>
    </row>
    <row r="151">
      <c r="A151" s="18" t="n">
        <v>148</v>
      </c>
      <c r="B151" s="19">
        <f>IFERROR(DATE(YEAR(B150),MONTH(B150)+1,DAY(B150)),"")</f>
        <v/>
      </c>
      <c r="C151" s="20">
        <f>IFERROR(IF(A151&lt;='EMI Calculator'!B7,G150,""),"")</f>
        <v/>
      </c>
      <c r="D151" s="20">
        <f>IFERROR(IF(A151&lt;='EMI Calculator'!B7,'EMI Calculator'!B11,""),"")</f>
        <v/>
      </c>
      <c r="E151" s="20">
        <f>IFERROR(IF(A151&lt;='EMI Calculator'!B7,D151-F151,""),"")</f>
        <v/>
      </c>
      <c r="F151" s="20">
        <f>IFERROR(IF(A151&lt;='EMI Calculator'!B7,C151*'EMI Calculator'!B6/12,""),"")</f>
        <v/>
      </c>
      <c r="G151" s="20">
        <f>IFERROR(IF(A151&lt;='EMI Calculator'!B7,MAX(C151-E151,0),""),"")</f>
        <v/>
      </c>
      <c r="H151" s="20">
        <f>IFERROR(IF(A151&lt;='EMI Calculator'!B7,H150+F151,""),"")</f>
        <v/>
      </c>
      <c r="I151" s="20">
        <f>IFERROR(IF(A151&lt;='EMI Calculator'!B7,I150+E151,""),"")</f>
        <v/>
      </c>
    </row>
    <row r="152">
      <c r="A152" s="21" t="n">
        <v>149</v>
      </c>
      <c r="B152" s="22">
        <f>IFERROR(DATE(YEAR(B151),MONTH(B151)+1,DAY(B151)),"")</f>
        <v/>
      </c>
      <c r="C152" s="23">
        <f>IFERROR(IF(A152&lt;='EMI Calculator'!B7,G151,""),"")</f>
        <v/>
      </c>
      <c r="D152" s="23">
        <f>IFERROR(IF(A152&lt;='EMI Calculator'!B7,'EMI Calculator'!B11,""),"")</f>
        <v/>
      </c>
      <c r="E152" s="23">
        <f>IFERROR(IF(A152&lt;='EMI Calculator'!B7,D152-F152,""),"")</f>
        <v/>
      </c>
      <c r="F152" s="23">
        <f>IFERROR(IF(A152&lt;='EMI Calculator'!B7,C152*'EMI Calculator'!B6/12,""),"")</f>
        <v/>
      </c>
      <c r="G152" s="23">
        <f>IFERROR(IF(A152&lt;='EMI Calculator'!B7,MAX(C152-E152,0),""),"")</f>
        <v/>
      </c>
      <c r="H152" s="23">
        <f>IFERROR(IF(A152&lt;='EMI Calculator'!B7,H151+F152,""),"")</f>
        <v/>
      </c>
      <c r="I152" s="23">
        <f>IFERROR(IF(A152&lt;='EMI Calculator'!B7,I151+E152,""),"")</f>
        <v/>
      </c>
    </row>
    <row r="153">
      <c r="A153" s="18" t="n">
        <v>150</v>
      </c>
      <c r="B153" s="19">
        <f>IFERROR(DATE(YEAR(B152),MONTH(B152)+1,DAY(B152)),"")</f>
        <v/>
      </c>
      <c r="C153" s="20">
        <f>IFERROR(IF(A153&lt;='EMI Calculator'!B7,G152,""),"")</f>
        <v/>
      </c>
      <c r="D153" s="20">
        <f>IFERROR(IF(A153&lt;='EMI Calculator'!B7,'EMI Calculator'!B11,""),"")</f>
        <v/>
      </c>
      <c r="E153" s="20">
        <f>IFERROR(IF(A153&lt;='EMI Calculator'!B7,D153-F153,""),"")</f>
        <v/>
      </c>
      <c r="F153" s="20">
        <f>IFERROR(IF(A153&lt;='EMI Calculator'!B7,C153*'EMI Calculator'!B6/12,""),"")</f>
        <v/>
      </c>
      <c r="G153" s="20">
        <f>IFERROR(IF(A153&lt;='EMI Calculator'!B7,MAX(C153-E153,0),""),"")</f>
        <v/>
      </c>
      <c r="H153" s="20">
        <f>IFERROR(IF(A153&lt;='EMI Calculator'!B7,H152+F153,""),"")</f>
        <v/>
      </c>
      <c r="I153" s="20">
        <f>IFERROR(IF(A153&lt;='EMI Calculator'!B7,I152+E153,""),"")</f>
        <v/>
      </c>
    </row>
    <row r="154">
      <c r="A154" s="21" t="n">
        <v>151</v>
      </c>
      <c r="B154" s="22">
        <f>IFERROR(DATE(YEAR(B153),MONTH(B153)+1,DAY(B153)),"")</f>
        <v/>
      </c>
      <c r="C154" s="23">
        <f>IFERROR(IF(A154&lt;='EMI Calculator'!B7,G153,""),"")</f>
        <v/>
      </c>
      <c r="D154" s="23">
        <f>IFERROR(IF(A154&lt;='EMI Calculator'!B7,'EMI Calculator'!B11,""),"")</f>
        <v/>
      </c>
      <c r="E154" s="23">
        <f>IFERROR(IF(A154&lt;='EMI Calculator'!B7,D154-F154,""),"")</f>
        <v/>
      </c>
      <c r="F154" s="23">
        <f>IFERROR(IF(A154&lt;='EMI Calculator'!B7,C154*'EMI Calculator'!B6/12,""),"")</f>
        <v/>
      </c>
      <c r="G154" s="23">
        <f>IFERROR(IF(A154&lt;='EMI Calculator'!B7,MAX(C154-E154,0),""),"")</f>
        <v/>
      </c>
      <c r="H154" s="23">
        <f>IFERROR(IF(A154&lt;='EMI Calculator'!B7,H153+F154,""),"")</f>
        <v/>
      </c>
      <c r="I154" s="23">
        <f>IFERROR(IF(A154&lt;='EMI Calculator'!B7,I153+E154,""),"")</f>
        <v/>
      </c>
    </row>
    <row r="155">
      <c r="A155" s="18" t="n">
        <v>152</v>
      </c>
      <c r="B155" s="19">
        <f>IFERROR(DATE(YEAR(B154),MONTH(B154)+1,DAY(B154)),"")</f>
        <v/>
      </c>
      <c r="C155" s="20">
        <f>IFERROR(IF(A155&lt;='EMI Calculator'!B7,G154,""),"")</f>
        <v/>
      </c>
      <c r="D155" s="20">
        <f>IFERROR(IF(A155&lt;='EMI Calculator'!B7,'EMI Calculator'!B11,""),"")</f>
        <v/>
      </c>
      <c r="E155" s="20">
        <f>IFERROR(IF(A155&lt;='EMI Calculator'!B7,D155-F155,""),"")</f>
        <v/>
      </c>
      <c r="F155" s="20">
        <f>IFERROR(IF(A155&lt;='EMI Calculator'!B7,C155*'EMI Calculator'!B6/12,""),"")</f>
        <v/>
      </c>
      <c r="G155" s="20">
        <f>IFERROR(IF(A155&lt;='EMI Calculator'!B7,MAX(C155-E155,0),""),"")</f>
        <v/>
      </c>
      <c r="H155" s="20">
        <f>IFERROR(IF(A155&lt;='EMI Calculator'!B7,H154+F155,""),"")</f>
        <v/>
      </c>
      <c r="I155" s="20">
        <f>IFERROR(IF(A155&lt;='EMI Calculator'!B7,I154+E155,""),"")</f>
        <v/>
      </c>
    </row>
    <row r="156">
      <c r="A156" s="21" t="n">
        <v>153</v>
      </c>
      <c r="B156" s="22">
        <f>IFERROR(DATE(YEAR(B155),MONTH(B155)+1,DAY(B155)),"")</f>
        <v/>
      </c>
      <c r="C156" s="23">
        <f>IFERROR(IF(A156&lt;='EMI Calculator'!B7,G155,""),"")</f>
        <v/>
      </c>
      <c r="D156" s="23">
        <f>IFERROR(IF(A156&lt;='EMI Calculator'!B7,'EMI Calculator'!B11,""),"")</f>
        <v/>
      </c>
      <c r="E156" s="23">
        <f>IFERROR(IF(A156&lt;='EMI Calculator'!B7,D156-F156,""),"")</f>
        <v/>
      </c>
      <c r="F156" s="23">
        <f>IFERROR(IF(A156&lt;='EMI Calculator'!B7,C156*'EMI Calculator'!B6/12,""),"")</f>
        <v/>
      </c>
      <c r="G156" s="23">
        <f>IFERROR(IF(A156&lt;='EMI Calculator'!B7,MAX(C156-E156,0),""),"")</f>
        <v/>
      </c>
      <c r="H156" s="23">
        <f>IFERROR(IF(A156&lt;='EMI Calculator'!B7,H155+F156,""),"")</f>
        <v/>
      </c>
      <c r="I156" s="23">
        <f>IFERROR(IF(A156&lt;='EMI Calculator'!B7,I155+E156,""),"")</f>
        <v/>
      </c>
    </row>
    <row r="157">
      <c r="A157" s="18" t="n">
        <v>154</v>
      </c>
      <c r="B157" s="19">
        <f>IFERROR(DATE(YEAR(B156),MONTH(B156)+1,DAY(B156)),"")</f>
        <v/>
      </c>
      <c r="C157" s="20">
        <f>IFERROR(IF(A157&lt;='EMI Calculator'!B7,G156,""),"")</f>
        <v/>
      </c>
      <c r="D157" s="20">
        <f>IFERROR(IF(A157&lt;='EMI Calculator'!B7,'EMI Calculator'!B11,""),"")</f>
        <v/>
      </c>
      <c r="E157" s="20">
        <f>IFERROR(IF(A157&lt;='EMI Calculator'!B7,D157-F157,""),"")</f>
        <v/>
      </c>
      <c r="F157" s="20">
        <f>IFERROR(IF(A157&lt;='EMI Calculator'!B7,C157*'EMI Calculator'!B6/12,""),"")</f>
        <v/>
      </c>
      <c r="G157" s="20">
        <f>IFERROR(IF(A157&lt;='EMI Calculator'!B7,MAX(C157-E157,0),""),"")</f>
        <v/>
      </c>
      <c r="H157" s="20">
        <f>IFERROR(IF(A157&lt;='EMI Calculator'!B7,H156+F157,""),"")</f>
        <v/>
      </c>
      <c r="I157" s="20">
        <f>IFERROR(IF(A157&lt;='EMI Calculator'!B7,I156+E157,""),"")</f>
        <v/>
      </c>
    </row>
    <row r="158">
      <c r="A158" s="21" t="n">
        <v>155</v>
      </c>
      <c r="B158" s="22">
        <f>IFERROR(DATE(YEAR(B157),MONTH(B157)+1,DAY(B157)),"")</f>
        <v/>
      </c>
      <c r="C158" s="23">
        <f>IFERROR(IF(A158&lt;='EMI Calculator'!B7,G157,""),"")</f>
        <v/>
      </c>
      <c r="D158" s="23">
        <f>IFERROR(IF(A158&lt;='EMI Calculator'!B7,'EMI Calculator'!B11,""),"")</f>
        <v/>
      </c>
      <c r="E158" s="23">
        <f>IFERROR(IF(A158&lt;='EMI Calculator'!B7,D158-F158,""),"")</f>
        <v/>
      </c>
      <c r="F158" s="23">
        <f>IFERROR(IF(A158&lt;='EMI Calculator'!B7,C158*'EMI Calculator'!B6/12,""),"")</f>
        <v/>
      </c>
      <c r="G158" s="23">
        <f>IFERROR(IF(A158&lt;='EMI Calculator'!B7,MAX(C158-E158,0),""),"")</f>
        <v/>
      </c>
      <c r="H158" s="23">
        <f>IFERROR(IF(A158&lt;='EMI Calculator'!B7,H157+F158,""),"")</f>
        <v/>
      </c>
      <c r="I158" s="23">
        <f>IFERROR(IF(A158&lt;='EMI Calculator'!B7,I157+E158,""),"")</f>
        <v/>
      </c>
    </row>
    <row r="159">
      <c r="A159" s="18" t="n">
        <v>156</v>
      </c>
      <c r="B159" s="19">
        <f>IFERROR(DATE(YEAR(B158),MONTH(B158)+1,DAY(B158)),"")</f>
        <v/>
      </c>
      <c r="C159" s="20">
        <f>IFERROR(IF(A159&lt;='EMI Calculator'!B7,G158,""),"")</f>
        <v/>
      </c>
      <c r="D159" s="20">
        <f>IFERROR(IF(A159&lt;='EMI Calculator'!B7,'EMI Calculator'!B11,""),"")</f>
        <v/>
      </c>
      <c r="E159" s="20">
        <f>IFERROR(IF(A159&lt;='EMI Calculator'!B7,D159-F159,""),"")</f>
        <v/>
      </c>
      <c r="F159" s="20">
        <f>IFERROR(IF(A159&lt;='EMI Calculator'!B7,C159*'EMI Calculator'!B6/12,""),"")</f>
        <v/>
      </c>
      <c r="G159" s="20">
        <f>IFERROR(IF(A159&lt;='EMI Calculator'!B7,MAX(C159-E159,0),""),"")</f>
        <v/>
      </c>
      <c r="H159" s="20">
        <f>IFERROR(IF(A159&lt;='EMI Calculator'!B7,H158+F159,""),"")</f>
        <v/>
      </c>
      <c r="I159" s="20">
        <f>IFERROR(IF(A159&lt;='EMI Calculator'!B7,I158+E159,""),"")</f>
        <v/>
      </c>
    </row>
    <row r="160">
      <c r="A160" s="21" t="n">
        <v>157</v>
      </c>
      <c r="B160" s="22">
        <f>IFERROR(DATE(YEAR(B159),MONTH(B159)+1,DAY(B159)),"")</f>
        <v/>
      </c>
      <c r="C160" s="23">
        <f>IFERROR(IF(A160&lt;='EMI Calculator'!B7,G159,""),"")</f>
        <v/>
      </c>
      <c r="D160" s="23">
        <f>IFERROR(IF(A160&lt;='EMI Calculator'!B7,'EMI Calculator'!B11,""),"")</f>
        <v/>
      </c>
      <c r="E160" s="23">
        <f>IFERROR(IF(A160&lt;='EMI Calculator'!B7,D160-F160,""),"")</f>
        <v/>
      </c>
      <c r="F160" s="23">
        <f>IFERROR(IF(A160&lt;='EMI Calculator'!B7,C160*'EMI Calculator'!B6/12,""),"")</f>
        <v/>
      </c>
      <c r="G160" s="23">
        <f>IFERROR(IF(A160&lt;='EMI Calculator'!B7,MAX(C160-E160,0),""),"")</f>
        <v/>
      </c>
      <c r="H160" s="23">
        <f>IFERROR(IF(A160&lt;='EMI Calculator'!B7,H159+F160,""),"")</f>
        <v/>
      </c>
      <c r="I160" s="23">
        <f>IFERROR(IF(A160&lt;='EMI Calculator'!B7,I159+E160,""),"")</f>
        <v/>
      </c>
    </row>
    <row r="161">
      <c r="A161" s="18" t="n">
        <v>158</v>
      </c>
      <c r="B161" s="19">
        <f>IFERROR(DATE(YEAR(B160),MONTH(B160)+1,DAY(B160)),"")</f>
        <v/>
      </c>
      <c r="C161" s="20">
        <f>IFERROR(IF(A161&lt;='EMI Calculator'!B7,G160,""),"")</f>
        <v/>
      </c>
      <c r="D161" s="20">
        <f>IFERROR(IF(A161&lt;='EMI Calculator'!B7,'EMI Calculator'!B11,""),"")</f>
        <v/>
      </c>
      <c r="E161" s="20">
        <f>IFERROR(IF(A161&lt;='EMI Calculator'!B7,D161-F161,""),"")</f>
        <v/>
      </c>
      <c r="F161" s="20">
        <f>IFERROR(IF(A161&lt;='EMI Calculator'!B7,C161*'EMI Calculator'!B6/12,""),"")</f>
        <v/>
      </c>
      <c r="G161" s="20">
        <f>IFERROR(IF(A161&lt;='EMI Calculator'!B7,MAX(C161-E161,0),""),"")</f>
        <v/>
      </c>
      <c r="H161" s="20">
        <f>IFERROR(IF(A161&lt;='EMI Calculator'!B7,H160+F161,""),"")</f>
        <v/>
      </c>
      <c r="I161" s="20">
        <f>IFERROR(IF(A161&lt;='EMI Calculator'!B7,I160+E161,""),"")</f>
        <v/>
      </c>
    </row>
    <row r="162">
      <c r="A162" s="21" t="n">
        <v>159</v>
      </c>
      <c r="B162" s="22">
        <f>IFERROR(DATE(YEAR(B161),MONTH(B161)+1,DAY(B161)),"")</f>
        <v/>
      </c>
      <c r="C162" s="23">
        <f>IFERROR(IF(A162&lt;='EMI Calculator'!B7,G161,""),"")</f>
        <v/>
      </c>
      <c r="D162" s="23">
        <f>IFERROR(IF(A162&lt;='EMI Calculator'!B7,'EMI Calculator'!B11,""),"")</f>
        <v/>
      </c>
      <c r="E162" s="23">
        <f>IFERROR(IF(A162&lt;='EMI Calculator'!B7,D162-F162,""),"")</f>
        <v/>
      </c>
      <c r="F162" s="23">
        <f>IFERROR(IF(A162&lt;='EMI Calculator'!B7,C162*'EMI Calculator'!B6/12,""),"")</f>
        <v/>
      </c>
      <c r="G162" s="23">
        <f>IFERROR(IF(A162&lt;='EMI Calculator'!B7,MAX(C162-E162,0),""),"")</f>
        <v/>
      </c>
      <c r="H162" s="23">
        <f>IFERROR(IF(A162&lt;='EMI Calculator'!B7,H161+F162,""),"")</f>
        <v/>
      </c>
      <c r="I162" s="23">
        <f>IFERROR(IF(A162&lt;='EMI Calculator'!B7,I161+E162,""),"")</f>
        <v/>
      </c>
    </row>
    <row r="163">
      <c r="A163" s="18" t="n">
        <v>160</v>
      </c>
      <c r="B163" s="19">
        <f>IFERROR(DATE(YEAR(B162),MONTH(B162)+1,DAY(B162)),"")</f>
        <v/>
      </c>
      <c r="C163" s="20">
        <f>IFERROR(IF(A163&lt;='EMI Calculator'!B7,G162,""),"")</f>
        <v/>
      </c>
      <c r="D163" s="20">
        <f>IFERROR(IF(A163&lt;='EMI Calculator'!B7,'EMI Calculator'!B11,""),"")</f>
        <v/>
      </c>
      <c r="E163" s="20">
        <f>IFERROR(IF(A163&lt;='EMI Calculator'!B7,D163-F163,""),"")</f>
        <v/>
      </c>
      <c r="F163" s="20">
        <f>IFERROR(IF(A163&lt;='EMI Calculator'!B7,C163*'EMI Calculator'!B6/12,""),"")</f>
        <v/>
      </c>
      <c r="G163" s="20">
        <f>IFERROR(IF(A163&lt;='EMI Calculator'!B7,MAX(C163-E163,0),""),"")</f>
        <v/>
      </c>
      <c r="H163" s="20">
        <f>IFERROR(IF(A163&lt;='EMI Calculator'!B7,H162+F163,""),"")</f>
        <v/>
      </c>
      <c r="I163" s="20">
        <f>IFERROR(IF(A163&lt;='EMI Calculator'!B7,I162+E163,""),"")</f>
        <v/>
      </c>
    </row>
    <row r="164">
      <c r="A164" s="21" t="n">
        <v>161</v>
      </c>
      <c r="B164" s="22">
        <f>IFERROR(DATE(YEAR(B163),MONTH(B163)+1,DAY(B163)),"")</f>
        <v/>
      </c>
      <c r="C164" s="23">
        <f>IFERROR(IF(A164&lt;='EMI Calculator'!B7,G163,""),"")</f>
        <v/>
      </c>
      <c r="D164" s="23">
        <f>IFERROR(IF(A164&lt;='EMI Calculator'!B7,'EMI Calculator'!B11,""),"")</f>
        <v/>
      </c>
      <c r="E164" s="23">
        <f>IFERROR(IF(A164&lt;='EMI Calculator'!B7,D164-F164,""),"")</f>
        <v/>
      </c>
      <c r="F164" s="23">
        <f>IFERROR(IF(A164&lt;='EMI Calculator'!B7,C164*'EMI Calculator'!B6/12,""),"")</f>
        <v/>
      </c>
      <c r="G164" s="23">
        <f>IFERROR(IF(A164&lt;='EMI Calculator'!B7,MAX(C164-E164,0),""),"")</f>
        <v/>
      </c>
      <c r="H164" s="23">
        <f>IFERROR(IF(A164&lt;='EMI Calculator'!B7,H163+F164,""),"")</f>
        <v/>
      </c>
      <c r="I164" s="23">
        <f>IFERROR(IF(A164&lt;='EMI Calculator'!B7,I163+E164,""),"")</f>
        <v/>
      </c>
    </row>
    <row r="165">
      <c r="A165" s="18" t="n">
        <v>162</v>
      </c>
      <c r="B165" s="19">
        <f>IFERROR(DATE(YEAR(B164),MONTH(B164)+1,DAY(B164)),"")</f>
        <v/>
      </c>
      <c r="C165" s="20">
        <f>IFERROR(IF(A165&lt;='EMI Calculator'!B7,G164,""),"")</f>
        <v/>
      </c>
      <c r="D165" s="20">
        <f>IFERROR(IF(A165&lt;='EMI Calculator'!B7,'EMI Calculator'!B11,""),"")</f>
        <v/>
      </c>
      <c r="E165" s="20">
        <f>IFERROR(IF(A165&lt;='EMI Calculator'!B7,D165-F165,""),"")</f>
        <v/>
      </c>
      <c r="F165" s="20">
        <f>IFERROR(IF(A165&lt;='EMI Calculator'!B7,C165*'EMI Calculator'!B6/12,""),"")</f>
        <v/>
      </c>
      <c r="G165" s="20">
        <f>IFERROR(IF(A165&lt;='EMI Calculator'!B7,MAX(C165-E165,0),""),"")</f>
        <v/>
      </c>
      <c r="H165" s="20">
        <f>IFERROR(IF(A165&lt;='EMI Calculator'!B7,H164+F165,""),"")</f>
        <v/>
      </c>
      <c r="I165" s="20">
        <f>IFERROR(IF(A165&lt;='EMI Calculator'!B7,I164+E165,""),"")</f>
        <v/>
      </c>
    </row>
    <row r="166">
      <c r="A166" s="21" t="n">
        <v>163</v>
      </c>
      <c r="B166" s="22">
        <f>IFERROR(DATE(YEAR(B165),MONTH(B165)+1,DAY(B165)),"")</f>
        <v/>
      </c>
      <c r="C166" s="23">
        <f>IFERROR(IF(A166&lt;='EMI Calculator'!B7,G165,""),"")</f>
        <v/>
      </c>
      <c r="D166" s="23">
        <f>IFERROR(IF(A166&lt;='EMI Calculator'!B7,'EMI Calculator'!B11,""),"")</f>
        <v/>
      </c>
      <c r="E166" s="23">
        <f>IFERROR(IF(A166&lt;='EMI Calculator'!B7,D166-F166,""),"")</f>
        <v/>
      </c>
      <c r="F166" s="23">
        <f>IFERROR(IF(A166&lt;='EMI Calculator'!B7,C166*'EMI Calculator'!B6/12,""),"")</f>
        <v/>
      </c>
      <c r="G166" s="23">
        <f>IFERROR(IF(A166&lt;='EMI Calculator'!B7,MAX(C166-E166,0),""),"")</f>
        <v/>
      </c>
      <c r="H166" s="23">
        <f>IFERROR(IF(A166&lt;='EMI Calculator'!B7,H165+F166,""),"")</f>
        <v/>
      </c>
      <c r="I166" s="23">
        <f>IFERROR(IF(A166&lt;='EMI Calculator'!B7,I165+E166,""),"")</f>
        <v/>
      </c>
    </row>
    <row r="167">
      <c r="A167" s="18" t="n">
        <v>164</v>
      </c>
      <c r="B167" s="19">
        <f>IFERROR(DATE(YEAR(B166),MONTH(B166)+1,DAY(B166)),"")</f>
        <v/>
      </c>
      <c r="C167" s="20">
        <f>IFERROR(IF(A167&lt;='EMI Calculator'!B7,G166,""),"")</f>
        <v/>
      </c>
      <c r="D167" s="20">
        <f>IFERROR(IF(A167&lt;='EMI Calculator'!B7,'EMI Calculator'!B11,""),"")</f>
        <v/>
      </c>
      <c r="E167" s="20">
        <f>IFERROR(IF(A167&lt;='EMI Calculator'!B7,D167-F167,""),"")</f>
        <v/>
      </c>
      <c r="F167" s="20">
        <f>IFERROR(IF(A167&lt;='EMI Calculator'!B7,C167*'EMI Calculator'!B6/12,""),"")</f>
        <v/>
      </c>
      <c r="G167" s="20">
        <f>IFERROR(IF(A167&lt;='EMI Calculator'!B7,MAX(C167-E167,0),""),"")</f>
        <v/>
      </c>
      <c r="H167" s="20">
        <f>IFERROR(IF(A167&lt;='EMI Calculator'!B7,H166+F167,""),"")</f>
        <v/>
      </c>
      <c r="I167" s="20">
        <f>IFERROR(IF(A167&lt;='EMI Calculator'!B7,I166+E167,""),"")</f>
        <v/>
      </c>
    </row>
    <row r="168">
      <c r="A168" s="21" t="n">
        <v>165</v>
      </c>
      <c r="B168" s="22">
        <f>IFERROR(DATE(YEAR(B167),MONTH(B167)+1,DAY(B167)),"")</f>
        <v/>
      </c>
      <c r="C168" s="23">
        <f>IFERROR(IF(A168&lt;='EMI Calculator'!B7,G167,""),"")</f>
        <v/>
      </c>
      <c r="D168" s="23">
        <f>IFERROR(IF(A168&lt;='EMI Calculator'!B7,'EMI Calculator'!B11,""),"")</f>
        <v/>
      </c>
      <c r="E168" s="23">
        <f>IFERROR(IF(A168&lt;='EMI Calculator'!B7,D168-F168,""),"")</f>
        <v/>
      </c>
      <c r="F168" s="23">
        <f>IFERROR(IF(A168&lt;='EMI Calculator'!B7,C168*'EMI Calculator'!B6/12,""),"")</f>
        <v/>
      </c>
      <c r="G168" s="23">
        <f>IFERROR(IF(A168&lt;='EMI Calculator'!B7,MAX(C168-E168,0),""),"")</f>
        <v/>
      </c>
      <c r="H168" s="23">
        <f>IFERROR(IF(A168&lt;='EMI Calculator'!B7,H167+F168,""),"")</f>
        <v/>
      </c>
      <c r="I168" s="23">
        <f>IFERROR(IF(A168&lt;='EMI Calculator'!B7,I167+E168,""),"")</f>
        <v/>
      </c>
    </row>
    <row r="169">
      <c r="A169" s="18" t="n">
        <v>166</v>
      </c>
      <c r="B169" s="19">
        <f>IFERROR(DATE(YEAR(B168),MONTH(B168)+1,DAY(B168)),"")</f>
        <v/>
      </c>
      <c r="C169" s="20">
        <f>IFERROR(IF(A169&lt;='EMI Calculator'!B7,G168,""),"")</f>
        <v/>
      </c>
      <c r="D169" s="20">
        <f>IFERROR(IF(A169&lt;='EMI Calculator'!B7,'EMI Calculator'!B11,""),"")</f>
        <v/>
      </c>
      <c r="E169" s="20">
        <f>IFERROR(IF(A169&lt;='EMI Calculator'!B7,D169-F169,""),"")</f>
        <v/>
      </c>
      <c r="F169" s="20">
        <f>IFERROR(IF(A169&lt;='EMI Calculator'!B7,C169*'EMI Calculator'!B6/12,""),"")</f>
        <v/>
      </c>
      <c r="G169" s="20">
        <f>IFERROR(IF(A169&lt;='EMI Calculator'!B7,MAX(C169-E169,0),""),"")</f>
        <v/>
      </c>
      <c r="H169" s="20">
        <f>IFERROR(IF(A169&lt;='EMI Calculator'!B7,H168+F169,""),"")</f>
        <v/>
      </c>
      <c r="I169" s="20">
        <f>IFERROR(IF(A169&lt;='EMI Calculator'!B7,I168+E169,""),"")</f>
        <v/>
      </c>
    </row>
    <row r="170">
      <c r="A170" s="21" t="n">
        <v>167</v>
      </c>
      <c r="B170" s="22">
        <f>IFERROR(DATE(YEAR(B169),MONTH(B169)+1,DAY(B169)),"")</f>
        <v/>
      </c>
      <c r="C170" s="23">
        <f>IFERROR(IF(A170&lt;='EMI Calculator'!B7,G169,""),"")</f>
        <v/>
      </c>
      <c r="D170" s="23">
        <f>IFERROR(IF(A170&lt;='EMI Calculator'!B7,'EMI Calculator'!B11,""),"")</f>
        <v/>
      </c>
      <c r="E170" s="23">
        <f>IFERROR(IF(A170&lt;='EMI Calculator'!B7,D170-F170,""),"")</f>
        <v/>
      </c>
      <c r="F170" s="23">
        <f>IFERROR(IF(A170&lt;='EMI Calculator'!B7,C170*'EMI Calculator'!B6/12,""),"")</f>
        <v/>
      </c>
      <c r="G170" s="23">
        <f>IFERROR(IF(A170&lt;='EMI Calculator'!B7,MAX(C170-E170,0),""),"")</f>
        <v/>
      </c>
      <c r="H170" s="23">
        <f>IFERROR(IF(A170&lt;='EMI Calculator'!B7,H169+F170,""),"")</f>
        <v/>
      </c>
      <c r="I170" s="23">
        <f>IFERROR(IF(A170&lt;='EMI Calculator'!B7,I169+E170,""),"")</f>
        <v/>
      </c>
    </row>
    <row r="171">
      <c r="A171" s="18" t="n">
        <v>168</v>
      </c>
      <c r="B171" s="19">
        <f>IFERROR(DATE(YEAR(B170),MONTH(B170)+1,DAY(B170)),"")</f>
        <v/>
      </c>
      <c r="C171" s="20">
        <f>IFERROR(IF(A171&lt;='EMI Calculator'!B7,G170,""),"")</f>
        <v/>
      </c>
      <c r="D171" s="20">
        <f>IFERROR(IF(A171&lt;='EMI Calculator'!B7,'EMI Calculator'!B11,""),"")</f>
        <v/>
      </c>
      <c r="E171" s="20">
        <f>IFERROR(IF(A171&lt;='EMI Calculator'!B7,D171-F171,""),"")</f>
        <v/>
      </c>
      <c r="F171" s="20">
        <f>IFERROR(IF(A171&lt;='EMI Calculator'!B7,C171*'EMI Calculator'!B6/12,""),"")</f>
        <v/>
      </c>
      <c r="G171" s="20">
        <f>IFERROR(IF(A171&lt;='EMI Calculator'!B7,MAX(C171-E171,0),""),"")</f>
        <v/>
      </c>
      <c r="H171" s="20">
        <f>IFERROR(IF(A171&lt;='EMI Calculator'!B7,H170+F171,""),"")</f>
        <v/>
      </c>
      <c r="I171" s="20">
        <f>IFERROR(IF(A171&lt;='EMI Calculator'!B7,I170+E171,""),"")</f>
        <v/>
      </c>
    </row>
    <row r="172">
      <c r="A172" s="21" t="n">
        <v>169</v>
      </c>
      <c r="B172" s="22">
        <f>IFERROR(DATE(YEAR(B171),MONTH(B171)+1,DAY(B171)),"")</f>
        <v/>
      </c>
      <c r="C172" s="23">
        <f>IFERROR(IF(A172&lt;='EMI Calculator'!B7,G171,""),"")</f>
        <v/>
      </c>
      <c r="D172" s="23">
        <f>IFERROR(IF(A172&lt;='EMI Calculator'!B7,'EMI Calculator'!B11,""),"")</f>
        <v/>
      </c>
      <c r="E172" s="23">
        <f>IFERROR(IF(A172&lt;='EMI Calculator'!B7,D172-F172,""),"")</f>
        <v/>
      </c>
      <c r="F172" s="23">
        <f>IFERROR(IF(A172&lt;='EMI Calculator'!B7,C172*'EMI Calculator'!B6/12,""),"")</f>
        <v/>
      </c>
      <c r="G172" s="23">
        <f>IFERROR(IF(A172&lt;='EMI Calculator'!B7,MAX(C172-E172,0),""),"")</f>
        <v/>
      </c>
      <c r="H172" s="23">
        <f>IFERROR(IF(A172&lt;='EMI Calculator'!B7,H171+F172,""),"")</f>
        <v/>
      </c>
      <c r="I172" s="23">
        <f>IFERROR(IF(A172&lt;='EMI Calculator'!B7,I171+E172,""),"")</f>
        <v/>
      </c>
    </row>
    <row r="173">
      <c r="A173" s="18" t="n">
        <v>170</v>
      </c>
      <c r="B173" s="19">
        <f>IFERROR(DATE(YEAR(B172),MONTH(B172)+1,DAY(B172)),"")</f>
        <v/>
      </c>
      <c r="C173" s="20">
        <f>IFERROR(IF(A173&lt;='EMI Calculator'!B7,G172,""),"")</f>
        <v/>
      </c>
      <c r="D173" s="20">
        <f>IFERROR(IF(A173&lt;='EMI Calculator'!B7,'EMI Calculator'!B11,""),"")</f>
        <v/>
      </c>
      <c r="E173" s="20">
        <f>IFERROR(IF(A173&lt;='EMI Calculator'!B7,D173-F173,""),"")</f>
        <v/>
      </c>
      <c r="F173" s="20">
        <f>IFERROR(IF(A173&lt;='EMI Calculator'!B7,C173*'EMI Calculator'!B6/12,""),"")</f>
        <v/>
      </c>
      <c r="G173" s="20">
        <f>IFERROR(IF(A173&lt;='EMI Calculator'!B7,MAX(C173-E173,0),""),"")</f>
        <v/>
      </c>
      <c r="H173" s="20">
        <f>IFERROR(IF(A173&lt;='EMI Calculator'!B7,H172+F173,""),"")</f>
        <v/>
      </c>
      <c r="I173" s="20">
        <f>IFERROR(IF(A173&lt;='EMI Calculator'!B7,I172+E173,""),"")</f>
        <v/>
      </c>
    </row>
    <row r="174">
      <c r="A174" s="21" t="n">
        <v>171</v>
      </c>
      <c r="B174" s="22">
        <f>IFERROR(DATE(YEAR(B173),MONTH(B173)+1,DAY(B173)),"")</f>
        <v/>
      </c>
      <c r="C174" s="23">
        <f>IFERROR(IF(A174&lt;='EMI Calculator'!B7,G173,""),"")</f>
        <v/>
      </c>
      <c r="D174" s="23">
        <f>IFERROR(IF(A174&lt;='EMI Calculator'!B7,'EMI Calculator'!B11,""),"")</f>
        <v/>
      </c>
      <c r="E174" s="23">
        <f>IFERROR(IF(A174&lt;='EMI Calculator'!B7,D174-F174,""),"")</f>
        <v/>
      </c>
      <c r="F174" s="23">
        <f>IFERROR(IF(A174&lt;='EMI Calculator'!B7,C174*'EMI Calculator'!B6/12,""),"")</f>
        <v/>
      </c>
      <c r="G174" s="23">
        <f>IFERROR(IF(A174&lt;='EMI Calculator'!B7,MAX(C174-E174,0),""),"")</f>
        <v/>
      </c>
      <c r="H174" s="23">
        <f>IFERROR(IF(A174&lt;='EMI Calculator'!B7,H173+F174,""),"")</f>
        <v/>
      </c>
      <c r="I174" s="23">
        <f>IFERROR(IF(A174&lt;='EMI Calculator'!B7,I173+E174,""),"")</f>
        <v/>
      </c>
    </row>
    <row r="175">
      <c r="A175" s="18" t="n">
        <v>172</v>
      </c>
      <c r="B175" s="19">
        <f>IFERROR(DATE(YEAR(B174),MONTH(B174)+1,DAY(B174)),"")</f>
        <v/>
      </c>
      <c r="C175" s="20">
        <f>IFERROR(IF(A175&lt;='EMI Calculator'!B7,G174,""),"")</f>
        <v/>
      </c>
      <c r="D175" s="20">
        <f>IFERROR(IF(A175&lt;='EMI Calculator'!B7,'EMI Calculator'!B11,""),"")</f>
        <v/>
      </c>
      <c r="E175" s="20">
        <f>IFERROR(IF(A175&lt;='EMI Calculator'!B7,D175-F175,""),"")</f>
        <v/>
      </c>
      <c r="F175" s="20">
        <f>IFERROR(IF(A175&lt;='EMI Calculator'!B7,C175*'EMI Calculator'!B6/12,""),"")</f>
        <v/>
      </c>
      <c r="G175" s="20">
        <f>IFERROR(IF(A175&lt;='EMI Calculator'!B7,MAX(C175-E175,0),""),"")</f>
        <v/>
      </c>
      <c r="H175" s="20">
        <f>IFERROR(IF(A175&lt;='EMI Calculator'!B7,H174+F175,""),"")</f>
        <v/>
      </c>
      <c r="I175" s="20">
        <f>IFERROR(IF(A175&lt;='EMI Calculator'!B7,I174+E175,""),"")</f>
        <v/>
      </c>
    </row>
    <row r="176">
      <c r="A176" s="21" t="n">
        <v>173</v>
      </c>
      <c r="B176" s="22">
        <f>IFERROR(DATE(YEAR(B175),MONTH(B175)+1,DAY(B175)),"")</f>
        <v/>
      </c>
      <c r="C176" s="23">
        <f>IFERROR(IF(A176&lt;='EMI Calculator'!B7,G175,""),"")</f>
        <v/>
      </c>
      <c r="D176" s="23">
        <f>IFERROR(IF(A176&lt;='EMI Calculator'!B7,'EMI Calculator'!B11,""),"")</f>
        <v/>
      </c>
      <c r="E176" s="23">
        <f>IFERROR(IF(A176&lt;='EMI Calculator'!B7,D176-F176,""),"")</f>
        <v/>
      </c>
      <c r="F176" s="23">
        <f>IFERROR(IF(A176&lt;='EMI Calculator'!B7,C176*'EMI Calculator'!B6/12,""),"")</f>
        <v/>
      </c>
      <c r="G176" s="23">
        <f>IFERROR(IF(A176&lt;='EMI Calculator'!B7,MAX(C176-E176,0),""),"")</f>
        <v/>
      </c>
      <c r="H176" s="23">
        <f>IFERROR(IF(A176&lt;='EMI Calculator'!B7,H175+F176,""),"")</f>
        <v/>
      </c>
      <c r="I176" s="23">
        <f>IFERROR(IF(A176&lt;='EMI Calculator'!B7,I175+E176,""),"")</f>
        <v/>
      </c>
    </row>
    <row r="177">
      <c r="A177" s="18" t="n">
        <v>174</v>
      </c>
      <c r="B177" s="19">
        <f>IFERROR(DATE(YEAR(B176),MONTH(B176)+1,DAY(B176)),"")</f>
        <v/>
      </c>
      <c r="C177" s="20">
        <f>IFERROR(IF(A177&lt;='EMI Calculator'!B7,G176,""),"")</f>
        <v/>
      </c>
      <c r="D177" s="20">
        <f>IFERROR(IF(A177&lt;='EMI Calculator'!B7,'EMI Calculator'!B11,""),"")</f>
        <v/>
      </c>
      <c r="E177" s="20">
        <f>IFERROR(IF(A177&lt;='EMI Calculator'!B7,D177-F177,""),"")</f>
        <v/>
      </c>
      <c r="F177" s="20">
        <f>IFERROR(IF(A177&lt;='EMI Calculator'!B7,C177*'EMI Calculator'!B6/12,""),"")</f>
        <v/>
      </c>
      <c r="G177" s="20">
        <f>IFERROR(IF(A177&lt;='EMI Calculator'!B7,MAX(C177-E177,0),""),"")</f>
        <v/>
      </c>
      <c r="H177" s="20">
        <f>IFERROR(IF(A177&lt;='EMI Calculator'!B7,H176+F177,""),"")</f>
        <v/>
      </c>
      <c r="I177" s="20">
        <f>IFERROR(IF(A177&lt;='EMI Calculator'!B7,I176+E177,""),"")</f>
        <v/>
      </c>
    </row>
    <row r="178">
      <c r="A178" s="21" t="n">
        <v>175</v>
      </c>
      <c r="B178" s="22">
        <f>IFERROR(DATE(YEAR(B177),MONTH(B177)+1,DAY(B177)),"")</f>
        <v/>
      </c>
      <c r="C178" s="23">
        <f>IFERROR(IF(A178&lt;='EMI Calculator'!B7,G177,""),"")</f>
        <v/>
      </c>
      <c r="D178" s="23">
        <f>IFERROR(IF(A178&lt;='EMI Calculator'!B7,'EMI Calculator'!B11,""),"")</f>
        <v/>
      </c>
      <c r="E178" s="23">
        <f>IFERROR(IF(A178&lt;='EMI Calculator'!B7,D178-F178,""),"")</f>
        <v/>
      </c>
      <c r="F178" s="23">
        <f>IFERROR(IF(A178&lt;='EMI Calculator'!B7,C178*'EMI Calculator'!B6/12,""),"")</f>
        <v/>
      </c>
      <c r="G178" s="23">
        <f>IFERROR(IF(A178&lt;='EMI Calculator'!B7,MAX(C178-E178,0),""),"")</f>
        <v/>
      </c>
      <c r="H178" s="23">
        <f>IFERROR(IF(A178&lt;='EMI Calculator'!B7,H177+F178,""),"")</f>
        <v/>
      </c>
      <c r="I178" s="23">
        <f>IFERROR(IF(A178&lt;='EMI Calculator'!B7,I177+E178,""),"")</f>
        <v/>
      </c>
    </row>
    <row r="179">
      <c r="A179" s="18" t="n">
        <v>176</v>
      </c>
      <c r="B179" s="19">
        <f>IFERROR(DATE(YEAR(B178),MONTH(B178)+1,DAY(B178)),"")</f>
        <v/>
      </c>
      <c r="C179" s="20">
        <f>IFERROR(IF(A179&lt;='EMI Calculator'!B7,G178,""),"")</f>
        <v/>
      </c>
      <c r="D179" s="20">
        <f>IFERROR(IF(A179&lt;='EMI Calculator'!B7,'EMI Calculator'!B11,""),"")</f>
        <v/>
      </c>
      <c r="E179" s="20">
        <f>IFERROR(IF(A179&lt;='EMI Calculator'!B7,D179-F179,""),"")</f>
        <v/>
      </c>
      <c r="F179" s="20">
        <f>IFERROR(IF(A179&lt;='EMI Calculator'!B7,C179*'EMI Calculator'!B6/12,""),"")</f>
        <v/>
      </c>
      <c r="G179" s="20">
        <f>IFERROR(IF(A179&lt;='EMI Calculator'!B7,MAX(C179-E179,0),""),"")</f>
        <v/>
      </c>
      <c r="H179" s="20">
        <f>IFERROR(IF(A179&lt;='EMI Calculator'!B7,H178+F179,""),"")</f>
        <v/>
      </c>
      <c r="I179" s="20">
        <f>IFERROR(IF(A179&lt;='EMI Calculator'!B7,I178+E179,""),"")</f>
        <v/>
      </c>
    </row>
    <row r="180">
      <c r="A180" s="21" t="n">
        <v>177</v>
      </c>
      <c r="B180" s="22">
        <f>IFERROR(DATE(YEAR(B179),MONTH(B179)+1,DAY(B179)),"")</f>
        <v/>
      </c>
      <c r="C180" s="23">
        <f>IFERROR(IF(A180&lt;='EMI Calculator'!B7,G179,""),"")</f>
        <v/>
      </c>
      <c r="D180" s="23">
        <f>IFERROR(IF(A180&lt;='EMI Calculator'!B7,'EMI Calculator'!B11,""),"")</f>
        <v/>
      </c>
      <c r="E180" s="23">
        <f>IFERROR(IF(A180&lt;='EMI Calculator'!B7,D180-F180,""),"")</f>
        <v/>
      </c>
      <c r="F180" s="23">
        <f>IFERROR(IF(A180&lt;='EMI Calculator'!B7,C180*'EMI Calculator'!B6/12,""),"")</f>
        <v/>
      </c>
      <c r="G180" s="23">
        <f>IFERROR(IF(A180&lt;='EMI Calculator'!B7,MAX(C180-E180,0),""),"")</f>
        <v/>
      </c>
      <c r="H180" s="23">
        <f>IFERROR(IF(A180&lt;='EMI Calculator'!B7,H179+F180,""),"")</f>
        <v/>
      </c>
      <c r="I180" s="23">
        <f>IFERROR(IF(A180&lt;='EMI Calculator'!B7,I179+E180,""),"")</f>
        <v/>
      </c>
    </row>
    <row r="181">
      <c r="A181" s="18" t="n">
        <v>178</v>
      </c>
      <c r="B181" s="19">
        <f>IFERROR(DATE(YEAR(B180),MONTH(B180)+1,DAY(B180)),"")</f>
        <v/>
      </c>
      <c r="C181" s="20">
        <f>IFERROR(IF(A181&lt;='EMI Calculator'!B7,G180,""),"")</f>
        <v/>
      </c>
      <c r="D181" s="20">
        <f>IFERROR(IF(A181&lt;='EMI Calculator'!B7,'EMI Calculator'!B11,""),"")</f>
        <v/>
      </c>
      <c r="E181" s="20">
        <f>IFERROR(IF(A181&lt;='EMI Calculator'!B7,D181-F181,""),"")</f>
        <v/>
      </c>
      <c r="F181" s="20">
        <f>IFERROR(IF(A181&lt;='EMI Calculator'!B7,C181*'EMI Calculator'!B6/12,""),"")</f>
        <v/>
      </c>
      <c r="G181" s="20">
        <f>IFERROR(IF(A181&lt;='EMI Calculator'!B7,MAX(C181-E181,0),""),"")</f>
        <v/>
      </c>
      <c r="H181" s="20">
        <f>IFERROR(IF(A181&lt;='EMI Calculator'!B7,H180+F181,""),"")</f>
        <v/>
      </c>
      <c r="I181" s="20">
        <f>IFERROR(IF(A181&lt;='EMI Calculator'!B7,I180+E181,""),"")</f>
        <v/>
      </c>
    </row>
    <row r="182">
      <c r="A182" s="21" t="n">
        <v>179</v>
      </c>
      <c r="B182" s="22">
        <f>IFERROR(DATE(YEAR(B181),MONTH(B181)+1,DAY(B181)),"")</f>
        <v/>
      </c>
      <c r="C182" s="23">
        <f>IFERROR(IF(A182&lt;='EMI Calculator'!B7,G181,""),"")</f>
        <v/>
      </c>
      <c r="D182" s="23">
        <f>IFERROR(IF(A182&lt;='EMI Calculator'!B7,'EMI Calculator'!B11,""),"")</f>
        <v/>
      </c>
      <c r="E182" s="23">
        <f>IFERROR(IF(A182&lt;='EMI Calculator'!B7,D182-F182,""),"")</f>
        <v/>
      </c>
      <c r="F182" s="23">
        <f>IFERROR(IF(A182&lt;='EMI Calculator'!B7,C182*'EMI Calculator'!B6/12,""),"")</f>
        <v/>
      </c>
      <c r="G182" s="23">
        <f>IFERROR(IF(A182&lt;='EMI Calculator'!B7,MAX(C182-E182,0),""),"")</f>
        <v/>
      </c>
      <c r="H182" s="23">
        <f>IFERROR(IF(A182&lt;='EMI Calculator'!B7,H181+F182,""),"")</f>
        <v/>
      </c>
      <c r="I182" s="23">
        <f>IFERROR(IF(A182&lt;='EMI Calculator'!B7,I181+E182,""),"")</f>
        <v/>
      </c>
    </row>
    <row r="183">
      <c r="A183" s="18" t="n">
        <v>180</v>
      </c>
      <c r="B183" s="19">
        <f>IFERROR(DATE(YEAR(B182),MONTH(B182)+1,DAY(B182)),"")</f>
        <v/>
      </c>
      <c r="C183" s="20">
        <f>IFERROR(IF(A183&lt;='EMI Calculator'!B7,G182,""),"")</f>
        <v/>
      </c>
      <c r="D183" s="20">
        <f>IFERROR(IF(A183&lt;='EMI Calculator'!B7,'EMI Calculator'!B11,""),"")</f>
        <v/>
      </c>
      <c r="E183" s="20">
        <f>IFERROR(IF(A183&lt;='EMI Calculator'!B7,D183-F183,""),"")</f>
        <v/>
      </c>
      <c r="F183" s="20">
        <f>IFERROR(IF(A183&lt;='EMI Calculator'!B7,C183*'EMI Calculator'!B6/12,""),"")</f>
        <v/>
      </c>
      <c r="G183" s="20">
        <f>IFERROR(IF(A183&lt;='EMI Calculator'!B7,MAX(C183-E183,0),""),"")</f>
        <v/>
      </c>
      <c r="H183" s="20">
        <f>IFERROR(IF(A183&lt;='EMI Calculator'!B7,H182+F183,""),"")</f>
        <v/>
      </c>
      <c r="I183" s="20">
        <f>IFERROR(IF(A183&lt;='EMI Calculator'!B7,I182+E183,""),"")</f>
        <v/>
      </c>
    </row>
    <row r="184">
      <c r="A184" s="21" t="n">
        <v>181</v>
      </c>
      <c r="B184" s="22">
        <f>IFERROR(DATE(YEAR(B183),MONTH(B183)+1,DAY(B183)),"")</f>
        <v/>
      </c>
      <c r="C184" s="23">
        <f>IFERROR(IF(A184&lt;='EMI Calculator'!B7,G183,""),"")</f>
        <v/>
      </c>
      <c r="D184" s="23">
        <f>IFERROR(IF(A184&lt;='EMI Calculator'!B7,'EMI Calculator'!B11,""),"")</f>
        <v/>
      </c>
      <c r="E184" s="23">
        <f>IFERROR(IF(A184&lt;='EMI Calculator'!B7,D184-F184,""),"")</f>
        <v/>
      </c>
      <c r="F184" s="23">
        <f>IFERROR(IF(A184&lt;='EMI Calculator'!B7,C184*'EMI Calculator'!B6/12,""),"")</f>
        <v/>
      </c>
      <c r="G184" s="23">
        <f>IFERROR(IF(A184&lt;='EMI Calculator'!B7,MAX(C184-E184,0),""),"")</f>
        <v/>
      </c>
      <c r="H184" s="23">
        <f>IFERROR(IF(A184&lt;='EMI Calculator'!B7,H183+F184,""),"")</f>
        <v/>
      </c>
      <c r="I184" s="23">
        <f>IFERROR(IF(A184&lt;='EMI Calculator'!B7,I183+E184,""),"")</f>
        <v/>
      </c>
    </row>
    <row r="185">
      <c r="A185" s="18" t="n">
        <v>182</v>
      </c>
      <c r="B185" s="19">
        <f>IFERROR(DATE(YEAR(B184),MONTH(B184)+1,DAY(B184)),"")</f>
        <v/>
      </c>
      <c r="C185" s="20">
        <f>IFERROR(IF(A185&lt;='EMI Calculator'!B7,G184,""),"")</f>
        <v/>
      </c>
      <c r="D185" s="20">
        <f>IFERROR(IF(A185&lt;='EMI Calculator'!B7,'EMI Calculator'!B11,""),"")</f>
        <v/>
      </c>
      <c r="E185" s="20">
        <f>IFERROR(IF(A185&lt;='EMI Calculator'!B7,D185-F185,""),"")</f>
        <v/>
      </c>
      <c r="F185" s="20">
        <f>IFERROR(IF(A185&lt;='EMI Calculator'!B7,C185*'EMI Calculator'!B6/12,""),"")</f>
        <v/>
      </c>
      <c r="G185" s="20">
        <f>IFERROR(IF(A185&lt;='EMI Calculator'!B7,MAX(C185-E185,0),""),"")</f>
        <v/>
      </c>
      <c r="H185" s="20">
        <f>IFERROR(IF(A185&lt;='EMI Calculator'!B7,H184+F185,""),"")</f>
        <v/>
      </c>
      <c r="I185" s="20">
        <f>IFERROR(IF(A185&lt;='EMI Calculator'!B7,I184+E185,""),"")</f>
        <v/>
      </c>
    </row>
    <row r="186">
      <c r="A186" s="21" t="n">
        <v>183</v>
      </c>
      <c r="B186" s="22">
        <f>IFERROR(DATE(YEAR(B185),MONTH(B185)+1,DAY(B185)),"")</f>
        <v/>
      </c>
      <c r="C186" s="23">
        <f>IFERROR(IF(A186&lt;='EMI Calculator'!B7,G185,""),"")</f>
        <v/>
      </c>
      <c r="D186" s="23">
        <f>IFERROR(IF(A186&lt;='EMI Calculator'!B7,'EMI Calculator'!B11,""),"")</f>
        <v/>
      </c>
      <c r="E186" s="23">
        <f>IFERROR(IF(A186&lt;='EMI Calculator'!B7,D186-F186,""),"")</f>
        <v/>
      </c>
      <c r="F186" s="23">
        <f>IFERROR(IF(A186&lt;='EMI Calculator'!B7,C186*'EMI Calculator'!B6/12,""),"")</f>
        <v/>
      </c>
      <c r="G186" s="23">
        <f>IFERROR(IF(A186&lt;='EMI Calculator'!B7,MAX(C186-E186,0),""),"")</f>
        <v/>
      </c>
      <c r="H186" s="23">
        <f>IFERROR(IF(A186&lt;='EMI Calculator'!B7,H185+F186,""),"")</f>
        <v/>
      </c>
      <c r="I186" s="23">
        <f>IFERROR(IF(A186&lt;='EMI Calculator'!B7,I185+E186,""),"")</f>
        <v/>
      </c>
    </row>
    <row r="187">
      <c r="A187" s="18" t="n">
        <v>184</v>
      </c>
      <c r="B187" s="19">
        <f>IFERROR(DATE(YEAR(B186),MONTH(B186)+1,DAY(B186)),"")</f>
        <v/>
      </c>
      <c r="C187" s="20">
        <f>IFERROR(IF(A187&lt;='EMI Calculator'!B7,G186,""),"")</f>
        <v/>
      </c>
      <c r="D187" s="20">
        <f>IFERROR(IF(A187&lt;='EMI Calculator'!B7,'EMI Calculator'!B11,""),"")</f>
        <v/>
      </c>
      <c r="E187" s="20">
        <f>IFERROR(IF(A187&lt;='EMI Calculator'!B7,D187-F187,""),"")</f>
        <v/>
      </c>
      <c r="F187" s="20">
        <f>IFERROR(IF(A187&lt;='EMI Calculator'!B7,C187*'EMI Calculator'!B6/12,""),"")</f>
        <v/>
      </c>
      <c r="G187" s="20">
        <f>IFERROR(IF(A187&lt;='EMI Calculator'!B7,MAX(C187-E187,0),""),"")</f>
        <v/>
      </c>
      <c r="H187" s="20">
        <f>IFERROR(IF(A187&lt;='EMI Calculator'!B7,H186+F187,""),"")</f>
        <v/>
      </c>
      <c r="I187" s="20">
        <f>IFERROR(IF(A187&lt;='EMI Calculator'!B7,I186+E187,""),"")</f>
        <v/>
      </c>
    </row>
    <row r="188">
      <c r="A188" s="21" t="n">
        <v>185</v>
      </c>
      <c r="B188" s="22">
        <f>IFERROR(DATE(YEAR(B187),MONTH(B187)+1,DAY(B187)),"")</f>
        <v/>
      </c>
      <c r="C188" s="23">
        <f>IFERROR(IF(A188&lt;='EMI Calculator'!B7,G187,""),"")</f>
        <v/>
      </c>
      <c r="D188" s="23">
        <f>IFERROR(IF(A188&lt;='EMI Calculator'!B7,'EMI Calculator'!B11,""),"")</f>
        <v/>
      </c>
      <c r="E188" s="23">
        <f>IFERROR(IF(A188&lt;='EMI Calculator'!B7,D188-F188,""),"")</f>
        <v/>
      </c>
      <c r="F188" s="23">
        <f>IFERROR(IF(A188&lt;='EMI Calculator'!B7,C188*'EMI Calculator'!B6/12,""),"")</f>
        <v/>
      </c>
      <c r="G188" s="23">
        <f>IFERROR(IF(A188&lt;='EMI Calculator'!B7,MAX(C188-E188,0),""),"")</f>
        <v/>
      </c>
      <c r="H188" s="23">
        <f>IFERROR(IF(A188&lt;='EMI Calculator'!B7,H187+F188,""),"")</f>
        <v/>
      </c>
      <c r="I188" s="23">
        <f>IFERROR(IF(A188&lt;='EMI Calculator'!B7,I187+E188,""),"")</f>
        <v/>
      </c>
    </row>
    <row r="189">
      <c r="A189" s="18" t="n">
        <v>186</v>
      </c>
      <c r="B189" s="19">
        <f>IFERROR(DATE(YEAR(B188),MONTH(B188)+1,DAY(B188)),"")</f>
        <v/>
      </c>
      <c r="C189" s="20">
        <f>IFERROR(IF(A189&lt;='EMI Calculator'!B7,G188,""),"")</f>
        <v/>
      </c>
      <c r="D189" s="20">
        <f>IFERROR(IF(A189&lt;='EMI Calculator'!B7,'EMI Calculator'!B11,""),"")</f>
        <v/>
      </c>
      <c r="E189" s="20">
        <f>IFERROR(IF(A189&lt;='EMI Calculator'!B7,D189-F189,""),"")</f>
        <v/>
      </c>
      <c r="F189" s="20">
        <f>IFERROR(IF(A189&lt;='EMI Calculator'!B7,C189*'EMI Calculator'!B6/12,""),"")</f>
        <v/>
      </c>
      <c r="G189" s="20">
        <f>IFERROR(IF(A189&lt;='EMI Calculator'!B7,MAX(C189-E189,0),""),"")</f>
        <v/>
      </c>
      <c r="H189" s="20">
        <f>IFERROR(IF(A189&lt;='EMI Calculator'!B7,H188+F189,""),"")</f>
        <v/>
      </c>
      <c r="I189" s="20">
        <f>IFERROR(IF(A189&lt;='EMI Calculator'!B7,I188+E189,""),"")</f>
        <v/>
      </c>
    </row>
    <row r="190">
      <c r="A190" s="21" t="n">
        <v>187</v>
      </c>
      <c r="B190" s="22">
        <f>IFERROR(DATE(YEAR(B189),MONTH(B189)+1,DAY(B189)),"")</f>
        <v/>
      </c>
      <c r="C190" s="23">
        <f>IFERROR(IF(A190&lt;='EMI Calculator'!B7,G189,""),"")</f>
        <v/>
      </c>
      <c r="D190" s="23">
        <f>IFERROR(IF(A190&lt;='EMI Calculator'!B7,'EMI Calculator'!B11,""),"")</f>
        <v/>
      </c>
      <c r="E190" s="23">
        <f>IFERROR(IF(A190&lt;='EMI Calculator'!B7,D190-F190,""),"")</f>
        <v/>
      </c>
      <c r="F190" s="23">
        <f>IFERROR(IF(A190&lt;='EMI Calculator'!B7,C190*'EMI Calculator'!B6/12,""),"")</f>
        <v/>
      </c>
      <c r="G190" s="23">
        <f>IFERROR(IF(A190&lt;='EMI Calculator'!B7,MAX(C190-E190,0),""),"")</f>
        <v/>
      </c>
      <c r="H190" s="23">
        <f>IFERROR(IF(A190&lt;='EMI Calculator'!B7,H189+F190,""),"")</f>
        <v/>
      </c>
      <c r="I190" s="23">
        <f>IFERROR(IF(A190&lt;='EMI Calculator'!B7,I189+E190,""),"")</f>
        <v/>
      </c>
    </row>
    <row r="191">
      <c r="A191" s="18" t="n">
        <v>188</v>
      </c>
      <c r="B191" s="19">
        <f>IFERROR(DATE(YEAR(B190),MONTH(B190)+1,DAY(B190)),"")</f>
        <v/>
      </c>
      <c r="C191" s="20">
        <f>IFERROR(IF(A191&lt;='EMI Calculator'!B7,G190,""),"")</f>
        <v/>
      </c>
      <c r="D191" s="20">
        <f>IFERROR(IF(A191&lt;='EMI Calculator'!B7,'EMI Calculator'!B11,""),"")</f>
        <v/>
      </c>
      <c r="E191" s="20">
        <f>IFERROR(IF(A191&lt;='EMI Calculator'!B7,D191-F191,""),"")</f>
        <v/>
      </c>
      <c r="F191" s="20">
        <f>IFERROR(IF(A191&lt;='EMI Calculator'!B7,C191*'EMI Calculator'!B6/12,""),"")</f>
        <v/>
      </c>
      <c r="G191" s="20">
        <f>IFERROR(IF(A191&lt;='EMI Calculator'!B7,MAX(C191-E191,0),""),"")</f>
        <v/>
      </c>
      <c r="H191" s="20">
        <f>IFERROR(IF(A191&lt;='EMI Calculator'!B7,H190+F191,""),"")</f>
        <v/>
      </c>
      <c r="I191" s="20">
        <f>IFERROR(IF(A191&lt;='EMI Calculator'!B7,I190+E191,""),"")</f>
        <v/>
      </c>
    </row>
    <row r="192">
      <c r="A192" s="21" t="n">
        <v>189</v>
      </c>
      <c r="B192" s="22">
        <f>IFERROR(DATE(YEAR(B191),MONTH(B191)+1,DAY(B191)),"")</f>
        <v/>
      </c>
      <c r="C192" s="23">
        <f>IFERROR(IF(A192&lt;='EMI Calculator'!B7,G191,""),"")</f>
        <v/>
      </c>
      <c r="D192" s="23">
        <f>IFERROR(IF(A192&lt;='EMI Calculator'!B7,'EMI Calculator'!B11,""),"")</f>
        <v/>
      </c>
      <c r="E192" s="23">
        <f>IFERROR(IF(A192&lt;='EMI Calculator'!B7,D192-F192,""),"")</f>
        <v/>
      </c>
      <c r="F192" s="23">
        <f>IFERROR(IF(A192&lt;='EMI Calculator'!B7,C192*'EMI Calculator'!B6/12,""),"")</f>
        <v/>
      </c>
      <c r="G192" s="23">
        <f>IFERROR(IF(A192&lt;='EMI Calculator'!B7,MAX(C192-E192,0),""),"")</f>
        <v/>
      </c>
      <c r="H192" s="23">
        <f>IFERROR(IF(A192&lt;='EMI Calculator'!B7,H191+F192,""),"")</f>
        <v/>
      </c>
      <c r="I192" s="23">
        <f>IFERROR(IF(A192&lt;='EMI Calculator'!B7,I191+E192,""),"")</f>
        <v/>
      </c>
    </row>
    <row r="193">
      <c r="A193" s="18" t="n">
        <v>190</v>
      </c>
      <c r="B193" s="19">
        <f>IFERROR(DATE(YEAR(B192),MONTH(B192)+1,DAY(B192)),"")</f>
        <v/>
      </c>
      <c r="C193" s="20">
        <f>IFERROR(IF(A193&lt;='EMI Calculator'!B7,G192,""),"")</f>
        <v/>
      </c>
      <c r="D193" s="20">
        <f>IFERROR(IF(A193&lt;='EMI Calculator'!B7,'EMI Calculator'!B11,""),"")</f>
        <v/>
      </c>
      <c r="E193" s="20">
        <f>IFERROR(IF(A193&lt;='EMI Calculator'!B7,D193-F193,""),"")</f>
        <v/>
      </c>
      <c r="F193" s="20">
        <f>IFERROR(IF(A193&lt;='EMI Calculator'!B7,C193*'EMI Calculator'!B6/12,""),"")</f>
        <v/>
      </c>
      <c r="G193" s="20">
        <f>IFERROR(IF(A193&lt;='EMI Calculator'!B7,MAX(C193-E193,0),""),"")</f>
        <v/>
      </c>
      <c r="H193" s="20">
        <f>IFERROR(IF(A193&lt;='EMI Calculator'!B7,H192+F193,""),"")</f>
        <v/>
      </c>
      <c r="I193" s="20">
        <f>IFERROR(IF(A193&lt;='EMI Calculator'!B7,I192+E193,""),"")</f>
        <v/>
      </c>
    </row>
    <row r="194">
      <c r="A194" s="21" t="n">
        <v>191</v>
      </c>
      <c r="B194" s="22">
        <f>IFERROR(DATE(YEAR(B193),MONTH(B193)+1,DAY(B193)),"")</f>
        <v/>
      </c>
      <c r="C194" s="23">
        <f>IFERROR(IF(A194&lt;='EMI Calculator'!B7,G193,""),"")</f>
        <v/>
      </c>
      <c r="D194" s="23">
        <f>IFERROR(IF(A194&lt;='EMI Calculator'!B7,'EMI Calculator'!B11,""),"")</f>
        <v/>
      </c>
      <c r="E194" s="23">
        <f>IFERROR(IF(A194&lt;='EMI Calculator'!B7,D194-F194,""),"")</f>
        <v/>
      </c>
      <c r="F194" s="23">
        <f>IFERROR(IF(A194&lt;='EMI Calculator'!B7,C194*'EMI Calculator'!B6/12,""),"")</f>
        <v/>
      </c>
      <c r="G194" s="23">
        <f>IFERROR(IF(A194&lt;='EMI Calculator'!B7,MAX(C194-E194,0),""),"")</f>
        <v/>
      </c>
      <c r="H194" s="23">
        <f>IFERROR(IF(A194&lt;='EMI Calculator'!B7,H193+F194,""),"")</f>
        <v/>
      </c>
      <c r="I194" s="23">
        <f>IFERROR(IF(A194&lt;='EMI Calculator'!B7,I193+E194,""),"")</f>
        <v/>
      </c>
    </row>
    <row r="195">
      <c r="A195" s="18" t="n">
        <v>192</v>
      </c>
      <c r="B195" s="19">
        <f>IFERROR(DATE(YEAR(B194),MONTH(B194)+1,DAY(B194)),"")</f>
        <v/>
      </c>
      <c r="C195" s="20">
        <f>IFERROR(IF(A195&lt;='EMI Calculator'!B7,G194,""),"")</f>
        <v/>
      </c>
      <c r="D195" s="20">
        <f>IFERROR(IF(A195&lt;='EMI Calculator'!B7,'EMI Calculator'!B11,""),"")</f>
        <v/>
      </c>
      <c r="E195" s="20">
        <f>IFERROR(IF(A195&lt;='EMI Calculator'!B7,D195-F195,""),"")</f>
        <v/>
      </c>
      <c r="F195" s="20">
        <f>IFERROR(IF(A195&lt;='EMI Calculator'!B7,C195*'EMI Calculator'!B6/12,""),"")</f>
        <v/>
      </c>
      <c r="G195" s="20">
        <f>IFERROR(IF(A195&lt;='EMI Calculator'!B7,MAX(C195-E195,0),""),"")</f>
        <v/>
      </c>
      <c r="H195" s="20">
        <f>IFERROR(IF(A195&lt;='EMI Calculator'!B7,H194+F195,""),"")</f>
        <v/>
      </c>
      <c r="I195" s="20">
        <f>IFERROR(IF(A195&lt;='EMI Calculator'!B7,I194+E195,""),"")</f>
        <v/>
      </c>
    </row>
    <row r="196">
      <c r="A196" s="21" t="n">
        <v>193</v>
      </c>
      <c r="B196" s="22">
        <f>IFERROR(DATE(YEAR(B195),MONTH(B195)+1,DAY(B195)),"")</f>
        <v/>
      </c>
      <c r="C196" s="23">
        <f>IFERROR(IF(A196&lt;='EMI Calculator'!B7,G195,""),"")</f>
        <v/>
      </c>
      <c r="D196" s="23">
        <f>IFERROR(IF(A196&lt;='EMI Calculator'!B7,'EMI Calculator'!B11,""),"")</f>
        <v/>
      </c>
      <c r="E196" s="23">
        <f>IFERROR(IF(A196&lt;='EMI Calculator'!B7,D196-F196,""),"")</f>
        <v/>
      </c>
      <c r="F196" s="23">
        <f>IFERROR(IF(A196&lt;='EMI Calculator'!B7,C196*'EMI Calculator'!B6/12,""),"")</f>
        <v/>
      </c>
      <c r="G196" s="23">
        <f>IFERROR(IF(A196&lt;='EMI Calculator'!B7,MAX(C196-E196,0),""),"")</f>
        <v/>
      </c>
      <c r="H196" s="23">
        <f>IFERROR(IF(A196&lt;='EMI Calculator'!B7,H195+F196,""),"")</f>
        <v/>
      </c>
      <c r="I196" s="23">
        <f>IFERROR(IF(A196&lt;='EMI Calculator'!B7,I195+E196,""),"")</f>
        <v/>
      </c>
    </row>
    <row r="197">
      <c r="A197" s="18" t="n">
        <v>194</v>
      </c>
      <c r="B197" s="19">
        <f>IFERROR(DATE(YEAR(B196),MONTH(B196)+1,DAY(B196)),"")</f>
        <v/>
      </c>
      <c r="C197" s="20">
        <f>IFERROR(IF(A197&lt;='EMI Calculator'!B7,G196,""),"")</f>
        <v/>
      </c>
      <c r="D197" s="20">
        <f>IFERROR(IF(A197&lt;='EMI Calculator'!B7,'EMI Calculator'!B11,""),"")</f>
        <v/>
      </c>
      <c r="E197" s="20">
        <f>IFERROR(IF(A197&lt;='EMI Calculator'!B7,D197-F197,""),"")</f>
        <v/>
      </c>
      <c r="F197" s="20">
        <f>IFERROR(IF(A197&lt;='EMI Calculator'!B7,C197*'EMI Calculator'!B6/12,""),"")</f>
        <v/>
      </c>
      <c r="G197" s="20">
        <f>IFERROR(IF(A197&lt;='EMI Calculator'!B7,MAX(C197-E197,0),""),"")</f>
        <v/>
      </c>
      <c r="H197" s="20">
        <f>IFERROR(IF(A197&lt;='EMI Calculator'!B7,H196+F197,""),"")</f>
        <v/>
      </c>
      <c r="I197" s="20">
        <f>IFERROR(IF(A197&lt;='EMI Calculator'!B7,I196+E197,""),"")</f>
        <v/>
      </c>
    </row>
    <row r="198">
      <c r="A198" s="21" t="n">
        <v>195</v>
      </c>
      <c r="B198" s="22">
        <f>IFERROR(DATE(YEAR(B197),MONTH(B197)+1,DAY(B197)),"")</f>
        <v/>
      </c>
      <c r="C198" s="23">
        <f>IFERROR(IF(A198&lt;='EMI Calculator'!B7,G197,""),"")</f>
        <v/>
      </c>
      <c r="D198" s="23">
        <f>IFERROR(IF(A198&lt;='EMI Calculator'!B7,'EMI Calculator'!B11,""),"")</f>
        <v/>
      </c>
      <c r="E198" s="23">
        <f>IFERROR(IF(A198&lt;='EMI Calculator'!B7,D198-F198,""),"")</f>
        <v/>
      </c>
      <c r="F198" s="23">
        <f>IFERROR(IF(A198&lt;='EMI Calculator'!B7,C198*'EMI Calculator'!B6/12,""),"")</f>
        <v/>
      </c>
      <c r="G198" s="23">
        <f>IFERROR(IF(A198&lt;='EMI Calculator'!B7,MAX(C198-E198,0),""),"")</f>
        <v/>
      </c>
      <c r="H198" s="23">
        <f>IFERROR(IF(A198&lt;='EMI Calculator'!B7,H197+F198,""),"")</f>
        <v/>
      </c>
      <c r="I198" s="23">
        <f>IFERROR(IF(A198&lt;='EMI Calculator'!B7,I197+E198,""),"")</f>
        <v/>
      </c>
    </row>
    <row r="199">
      <c r="A199" s="18" t="n">
        <v>196</v>
      </c>
      <c r="B199" s="19">
        <f>IFERROR(DATE(YEAR(B198),MONTH(B198)+1,DAY(B198)),"")</f>
        <v/>
      </c>
      <c r="C199" s="20">
        <f>IFERROR(IF(A199&lt;='EMI Calculator'!B7,G198,""),"")</f>
        <v/>
      </c>
      <c r="D199" s="20">
        <f>IFERROR(IF(A199&lt;='EMI Calculator'!B7,'EMI Calculator'!B11,""),"")</f>
        <v/>
      </c>
      <c r="E199" s="20">
        <f>IFERROR(IF(A199&lt;='EMI Calculator'!B7,D199-F199,""),"")</f>
        <v/>
      </c>
      <c r="F199" s="20">
        <f>IFERROR(IF(A199&lt;='EMI Calculator'!B7,C199*'EMI Calculator'!B6/12,""),"")</f>
        <v/>
      </c>
      <c r="G199" s="20">
        <f>IFERROR(IF(A199&lt;='EMI Calculator'!B7,MAX(C199-E199,0),""),"")</f>
        <v/>
      </c>
      <c r="H199" s="20">
        <f>IFERROR(IF(A199&lt;='EMI Calculator'!B7,H198+F199,""),"")</f>
        <v/>
      </c>
      <c r="I199" s="20">
        <f>IFERROR(IF(A199&lt;='EMI Calculator'!B7,I198+E199,""),"")</f>
        <v/>
      </c>
    </row>
    <row r="200">
      <c r="A200" s="21" t="n">
        <v>197</v>
      </c>
      <c r="B200" s="22">
        <f>IFERROR(DATE(YEAR(B199),MONTH(B199)+1,DAY(B199)),"")</f>
        <v/>
      </c>
      <c r="C200" s="23">
        <f>IFERROR(IF(A200&lt;='EMI Calculator'!B7,G199,""),"")</f>
        <v/>
      </c>
      <c r="D200" s="23">
        <f>IFERROR(IF(A200&lt;='EMI Calculator'!B7,'EMI Calculator'!B11,""),"")</f>
        <v/>
      </c>
      <c r="E200" s="23">
        <f>IFERROR(IF(A200&lt;='EMI Calculator'!B7,D200-F200,""),"")</f>
        <v/>
      </c>
      <c r="F200" s="23">
        <f>IFERROR(IF(A200&lt;='EMI Calculator'!B7,C200*'EMI Calculator'!B6/12,""),"")</f>
        <v/>
      </c>
      <c r="G200" s="23">
        <f>IFERROR(IF(A200&lt;='EMI Calculator'!B7,MAX(C200-E200,0),""),"")</f>
        <v/>
      </c>
      <c r="H200" s="23">
        <f>IFERROR(IF(A200&lt;='EMI Calculator'!B7,H199+F200,""),"")</f>
        <v/>
      </c>
      <c r="I200" s="23">
        <f>IFERROR(IF(A200&lt;='EMI Calculator'!B7,I199+E200,""),"")</f>
        <v/>
      </c>
    </row>
    <row r="201">
      <c r="A201" s="18" t="n">
        <v>198</v>
      </c>
      <c r="B201" s="19">
        <f>IFERROR(DATE(YEAR(B200),MONTH(B200)+1,DAY(B200)),"")</f>
        <v/>
      </c>
      <c r="C201" s="20">
        <f>IFERROR(IF(A201&lt;='EMI Calculator'!B7,G200,""),"")</f>
        <v/>
      </c>
      <c r="D201" s="20">
        <f>IFERROR(IF(A201&lt;='EMI Calculator'!B7,'EMI Calculator'!B11,""),"")</f>
        <v/>
      </c>
      <c r="E201" s="20">
        <f>IFERROR(IF(A201&lt;='EMI Calculator'!B7,D201-F201,""),"")</f>
        <v/>
      </c>
      <c r="F201" s="20">
        <f>IFERROR(IF(A201&lt;='EMI Calculator'!B7,C201*'EMI Calculator'!B6/12,""),"")</f>
        <v/>
      </c>
      <c r="G201" s="20">
        <f>IFERROR(IF(A201&lt;='EMI Calculator'!B7,MAX(C201-E201,0),""),"")</f>
        <v/>
      </c>
      <c r="H201" s="20">
        <f>IFERROR(IF(A201&lt;='EMI Calculator'!B7,H200+F201,""),"")</f>
        <v/>
      </c>
      <c r="I201" s="20">
        <f>IFERROR(IF(A201&lt;='EMI Calculator'!B7,I200+E201,""),"")</f>
        <v/>
      </c>
    </row>
    <row r="202">
      <c r="A202" s="21" t="n">
        <v>199</v>
      </c>
      <c r="B202" s="22">
        <f>IFERROR(DATE(YEAR(B201),MONTH(B201)+1,DAY(B201)),"")</f>
        <v/>
      </c>
      <c r="C202" s="23">
        <f>IFERROR(IF(A202&lt;='EMI Calculator'!B7,G201,""),"")</f>
        <v/>
      </c>
      <c r="D202" s="23">
        <f>IFERROR(IF(A202&lt;='EMI Calculator'!B7,'EMI Calculator'!B11,""),"")</f>
        <v/>
      </c>
      <c r="E202" s="23">
        <f>IFERROR(IF(A202&lt;='EMI Calculator'!B7,D202-F202,""),"")</f>
        <v/>
      </c>
      <c r="F202" s="23">
        <f>IFERROR(IF(A202&lt;='EMI Calculator'!B7,C202*'EMI Calculator'!B6/12,""),"")</f>
        <v/>
      </c>
      <c r="G202" s="23">
        <f>IFERROR(IF(A202&lt;='EMI Calculator'!B7,MAX(C202-E202,0),""),"")</f>
        <v/>
      </c>
      <c r="H202" s="23">
        <f>IFERROR(IF(A202&lt;='EMI Calculator'!B7,H201+F202,""),"")</f>
        <v/>
      </c>
      <c r="I202" s="23">
        <f>IFERROR(IF(A202&lt;='EMI Calculator'!B7,I201+E202,""),"")</f>
        <v/>
      </c>
    </row>
    <row r="203">
      <c r="A203" s="18" t="n">
        <v>200</v>
      </c>
      <c r="B203" s="19">
        <f>IFERROR(DATE(YEAR(B202),MONTH(B202)+1,DAY(B202)),"")</f>
        <v/>
      </c>
      <c r="C203" s="20">
        <f>IFERROR(IF(A203&lt;='EMI Calculator'!B7,G202,""),"")</f>
        <v/>
      </c>
      <c r="D203" s="20">
        <f>IFERROR(IF(A203&lt;='EMI Calculator'!B7,'EMI Calculator'!B11,""),"")</f>
        <v/>
      </c>
      <c r="E203" s="20">
        <f>IFERROR(IF(A203&lt;='EMI Calculator'!B7,D203-F203,""),"")</f>
        <v/>
      </c>
      <c r="F203" s="20">
        <f>IFERROR(IF(A203&lt;='EMI Calculator'!B7,C203*'EMI Calculator'!B6/12,""),"")</f>
        <v/>
      </c>
      <c r="G203" s="20">
        <f>IFERROR(IF(A203&lt;='EMI Calculator'!B7,MAX(C203-E203,0),""),"")</f>
        <v/>
      </c>
      <c r="H203" s="20">
        <f>IFERROR(IF(A203&lt;='EMI Calculator'!B7,H202+F203,""),"")</f>
        <v/>
      </c>
      <c r="I203" s="20">
        <f>IFERROR(IF(A203&lt;='EMI Calculator'!B7,I202+E203,""),"")</f>
        <v/>
      </c>
    </row>
    <row r="204">
      <c r="A204" s="21" t="n">
        <v>201</v>
      </c>
      <c r="B204" s="22">
        <f>IFERROR(DATE(YEAR(B203),MONTH(B203)+1,DAY(B203)),"")</f>
        <v/>
      </c>
      <c r="C204" s="23">
        <f>IFERROR(IF(A204&lt;='EMI Calculator'!B7,G203,""),"")</f>
        <v/>
      </c>
      <c r="D204" s="23">
        <f>IFERROR(IF(A204&lt;='EMI Calculator'!B7,'EMI Calculator'!B11,""),"")</f>
        <v/>
      </c>
      <c r="E204" s="23">
        <f>IFERROR(IF(A204&lt;='EMI Calculator'!B7,D204-F204,""),"")</f>
        <v/>
      </c>
      <c r="F204" s="23">
        <f>IFERROR(IF(A204&lt;='EMI Calculator'!B7,C204*'EMI Calculator'!B6/12,""),"")</f>
        <v/>
      </c>
      <c r="G204" s="23">
        <f>IFERROR(IF(A204&lt;='EMI Calculator'!B7,MAX(C204-E204,0),""),"")</f>
        <v/>
      </c>
      <c r="H204" s="23">
        <f>IFERROR(IF(A204&lt;='EMI Calculator'!B7,H203+F204,""),"")</f>
        <v/>
      </c>
      <c r="I204" s="23">
        <f>IFERROR(IF(A204&lt;='EMI Calculator'!B7,I203+E204,""),"")</f>
        <v/>
      </c>
    </row>
    <row r="205">
      <c r="A205" s="18" t="n">
        <v>202</v>
      </c>
      <c r="B205" s="19">
        <f>IFERROR(DATE(YEAR(B204),MONTH(B204)+1,DAY(B204)),"")</f>
        <v/>
      </c>
      <c r="C205" s="20">
        <f>IFERROR(IF(A205&lt;='EMI Calculator'!B7,G204,""),"")</f>
        <v/>
      </c>
      <c r="D205" s="20">
        <f>IFERROR(IF(A205&lt;='EMI Calculator'!B7,'EMI Calculator'!B11,""),"")</f>
        <v/>
      </c>
      <c r="E205" s="20">
        <f>IFERROR(IF(A205&lt;='EMI Calculator'!B7,D205-F205,""),"")</f>
        <v/>
      </c>
      <c r="F205" s="20">
        <f>IFERROR(IF(A205&lt;='EMI Calculator'!B7,C205*'EMI Calculator'!B6/12,""),"")</f>
        <v/>
      </c>
      <c r="G205" s="20">
        <f>IFERROR(IF(A205&lt;='EMI Calculator'!B7,MAX(C205-E205,0),""),"")</f>
        <v/>
      </c>
      <c r="H205" s="20">
        <f>IFERROR(IF(A205&lt;='EMI Calculator'!B7,H204+F205,""),"")</f>
        <v/>
      </c>
      <c r="I205" s="20">
        <f>IFERROR(IF(A205&lt;='EMI Calculator'!B7,I204+E205,""),"")</f>
        <v/>
      </c>
    </row>
    <row r="206">
      <c r="A206" s="21" t="n">
        <v>203</v>
      </c>
      <c r="B206" s="22">
        <f>IFERROR(DATE(YEAR(B205),MONTH(B205)+1,DAY(B205)),"")</f>
        <v/>
      </c>
      <c r="C206" s="23">
        <f>IFERROR(IF(A206&lt;='EMI Calculator'!B7,G205,""),"")</f>
        <v/>
      </c>
      <c r="D206" s="23">
        <f>IFERROR(IF(A206&lt;='EMI Calculator'!B7,'EMI Calculator'!B11,""),"")</f>
        <v/>
      </c>
      <c r="E206" s="23">
        <f>IFERROR(IF(A206&lt;='EMI Calculator'!B7,D206-F206,""),"")</f>
        <v/>
      </c>
      <c r="F206" s="23">
        <f>IFERROR(IF(A206&lt;='EMI Calculator'!B7,C206*'EMI Calculator'!B6/12,""),"")</f>
        <v/>
      </c>
      <c r="G206" s="23">
        <f>IFERROR(IF(A206&lt;='EMI Calculator'!B7,MAX(C206-E206,0),""),"")</f>
        <v/>
      </c>
      <c r="H206" s="23">
        <f>IFERROR(IF(A206&lt;='EMI Calculator'!B7,H205+F206,""),"")</f>
        <v/>
      </c>
      <c r="I206" s="23">
        <f>IFERROR(IF(A206&lt;='EMI Calculator'!B7,I205+E206,""),"")</f>
        <v/>
      </c>
    </row>
    <row r="207">
      <c r="A207" s="18" t="n">
        <v>204</v>
      </c>
      <c r="B207" s="19">
        <f>IFERROR(DATE(YEAR(B206),MONTH(B206)+1,DAY(B206)),"")</f>
        <v/>
      </c>
      <c r="C207" s="20">
        <f>IFERROR(IF(A207&lt;='EMI Calculator'!B7,G206,""),"")</f>
        <v/>
      </c>
      <c r="D207" s="20">
        <f>IFERROR(IF(A207&lt;='EMI Calculator'!B7,'EMI Calculator'!B11,""),"")</f>
        <v/>
      </c>
      <c r="E207" s="20">
        <f>IFERROR(IF(A207&lt;='EMI Calculator'!B7,D207-F207,""),"")</f>
        <v/>
      </c>
      <c r="F207" s="20">
        <f>IFERROR(IF(A207&lt;='EMI Calculator'!B7,C207*'EMI Calculator'!B6/12,""),"")</f>
        <v/>
      </c>
      <c r="G207" s="20">
        <f>IFERROR(IF(A207&lt;='EMI Calculator'!B7,MAX(C207-E207,0),""),"")</f>
        <v/>
      </c>
      <c r="H207" s="20">
        <f>IFERROR(IF(A207&lt;='EMI Calculator'!B7,H206+F207,""),"")</f>
        <v/>
      </c>
      <c r="I207" s="20">
        <f>IFERROR(IF(A207&lt;='EMI Calculator'!B7,I206+E207,""),"")</f>
        <v/>
      </c>
    </row>
    <row r="208">
      <c r="A208" s="21" t="n">
        <v>205</v>
      </c>
      <c r="B208" s="22">
        <f>IFERROR(DATE(YEAR(B207),MONTH(B207)+1,DAY(B207)),"")</f>
        <v/>
      </c>
      <c r="C208" s="23">
        <f>IFERROR(IF(A208&lt;='EMI Calculator'!B7,G207,""),"")</f>
        <v/>
      </c>
      <c r="D208" s="23">
        <f>IFERROR(IF(A208&lt;='EMI Calculator'!B7,'EMI Calculator'!B11,""),"")</f>
        <v/>
      </c>
      <c r="E208" s="23">
        <f>IFERROR(IF(A208&lt;='EMI Calculator'!B7,D208-F208,""),"")</f>
        <v/>
      </c>
      <c r="F208" s="23">
        <f>IFERROR(IF(A208&lt;='EMI Calculator'!B7,C208*'EMI Calculator'!B6/12,""),"")</f>
        <v/>
      </c>
      <c r="G208" s="23">
        <f>IFERROR(IF(A208&lt;='EMI Calculator'!B7,MAX(C208-E208,0),""),"")</f>
        <v/>
      </c>
      <c r="H208" s="23">
        <f>IFERROR(IF(A208&lt;='EMI Calculator'!B7,H207+F208,""),"")</f>
        <v/>
      </c>
      <c r="I208" s="23">
        <f>IFERROR(IF(A208&lt;='EMI Calculator'!B7,I207+E208,""),"")</f>
        <v/>
      </c>
    </row>
    <row r="209">
      <c r="A209" s="18" t="n">
        <v>206</v>
      </c>
      <c r="B209" s="19">
        <f>IFERROR(DATE(YEAR(B208),MONTH(B208)+1,DAY(B208)),"")</f>
        <v/>
      </c>
      <c r="C209" s="20">
        <f>IFERROR(IF(A209&lt;='EMI Calculator'!B7,G208,""),"")</f>
        <v/>
      </c>
      <c r="D209" s="20">
        <f>IFERROR(IF(A209&lt;='EMI Calculator'!B7,'EMI Calculator'!B11,""),"")</f>
        <v/>
      </c>
      <c r="E209" s="20">
        <f>IFERROR(IF(A209&lt;='EMI Calculator'!B7,D209-F209,""),"")</f>
        <v/>
      </c>
      <c r="F209" s="20">
        <f>IFERROR(IF(A209&lt;='EMI Calculator'!B7,C209*'EMI Calculator'!B6/12,""),"")</f>
        <v/>
      </c>
      <c r="G209" s="20">
        <f>IFERROR(IF(A209&lt;='EMI Calculator'!B7,MAX(C209-E209,0),""),"")</f>
        <v/>
      </c>
      <c r="H209" s="20">
        <f>IFERROR(IF(A209&lt;='EMI Calculator'!B7,H208+F209,""),"")</f>
        <v/>
      </c>
      <c r="I209" s="20">
        <f>IFERROR(IF(A209&lt;='EMI Calculator'!B7,I208+E209,""),"")</f>
        <v/>
      </c>
    </row>
    <row r="210">
      <c r="A210" s="21" t="n">
        <v>207</v>
      </c>
      <c r="B210" s="22">
        <f>IFERROR(DATE(YEAR(B209),MONTH(B209)+1,DAY(B209)),"")</f>
        <v/>
      </c>
      <c r="C210" s="23">
        <f>IFERROR(IF(A210&lt;='EMI Calculator'!B7,G209,""),"")</f>
        <v/>
      </c>
      <c r="D210" s="23">
        <f>IFERROR(IF(A210&lt;='EMI Calculator'!B7,'EMI Calculator'!B11,""),"")</f>
        <v/>
      </c>
      <c r="E210" s="23">
        <f>IFERROR(IF(A210&lt;='EMI Calculator'!B7,D210-F210,""),"")</f>
        <v/>
      </c>
      <c r="F210" s="23">
        <f>IFERROR(IF(A210&lt;='EMI Calculator'!B7,C210*'EMI Calculator'!B6/12,""),"")</f>
        <v/>
      </c>
      <c r="G210" s="23">
        <f>IFERROR(IF(A210&lt;='EMI Calculator'!B7,MAX(C210-E210,0),""),"")</f>
        <v/>
      </c>
      <c r="H210" s="23">
        <f>IFERROR(IF(A210&lt;='EMI Calculator'!B7,H209+F210,""),"")</f>
        <v/>
      </c>
      <c r="I210" s="23">
        <f>IFERROR(IF(A210&lt;='EMI Calculator'!B7,I209+E210,""),"")</f>
        <v/>
      </c>
    </row>
    <row r="211">
      <c r="A211" s="18" t="n">
        <v>208</v>
      </c>
      <c r="B211" s="19">
        <f>IFERROR(DATE(YEAR(B210),MONTH(B210)+1,DAY(B210)),"")</f>
        <v/>
      </c>
      <c r="C211" s="20">
        <f>IFERROR(IF(A211&lt;='EMI Calculator'!B7,G210,""),"")</f>
        <v/>
      </c>
      <c r="D211" s="20">
        <f>IFERROR(IF(A211&lt;='EMI Calculator'!B7,'EMI Calculator'!B11,""),"")</f>
        <v/>
      </c>
      <c r="E211" s="20">
        <f>IFERROR(IF(A211&lt;='EMI Calculator'!B7,D211-F211,""),"")</f>
        <v/>
      </c>
      <c r="F211" s="20">
        <f>IFERROR(IF(A211&lt;='EMI Calculator'!B7,C211*'EMI Calculator'!B6/12,""),"")</f>
        <v/>
      </c>
      <c r="G211" s="20">
        <f>IFERROR(IF(A211&lt;='EMI Calculator'!B7,MAX(C211-E211,0),""),"")</f>
        <v/>
      </c>
      <c r="H211" s="20">
        <f>IFERROR(IF(A211&lt;='EMI Calculator'!B7,H210+F211,""),"")</f>
        <v/>
      </c>
      <c r="I211" s="20">
        <f>IFERROR(IF(A211&lt;='EMI Calculator'!B7,I210+E211,""),"")</f>
        <v/>
      </c>
    </row>
    <row r="212">
      <c r="A212" s="21" t="n">
        <v>209</v>
      </c>
      <c r="B212" s="22">
        <f>IFERROR(DATE(YEAR(B211),MONTH(B211)+1,DAY(B211)),"")</f>
        <v/>
      </c>
      <c r="C212" s="23">
        <f>IFERROR(IF(A212&lt;='EMI Calculator'!B7,G211,""),"")</f>
        <v/>
      </c>
      <c r="D212" s="23">
        <f>IFERROR(IF(A212&lt;='EMI Calculator'!B7,'EMI Calculator'!B11,""),"")</f>
        <v/>
      </c>
      <c r="E212" s="23">
        <f>IFERROR(IF(A212&lt;='EMI Calculator'!B7,D212-F212,""),"")</f>
        <v/>
      </c>
      <c r="F212" s="23">
        <f>IFERROR(IF(A212&lt;='EMI Calculator'!B7,C212*'EMI Calculator'!B6/12,""),"")</f>
        <v/>
      </c>
      <c r="G212" s="23">
        <f>IFERROR(IF(A212&lt;='EMI Calculator'!B7,MAX(C212-E212,0),""),"")</f>
        <v/>
      </c>
      <c r="H212" s="23">
        <f>IFERROR(IF(A212&lt;='EMI Calculator'!B7,H211+F212,""),"")</f>
        <v/>
      </c>
      <c r="I212" s="23">
        <f>IFERROR(IF(A212&lt;='EMI Calculator'!B7,I211+E212,""),"")</f>
        <v/>
      </c>
    </row>
    <row r="213">
      <c r="A213" s="18" t="n">
        <v>210</v>
      </c>
      <c r="B213" s="19">
        <f>IFERROR(DATE(YEAR(B212),MONTH(B212)+1,DAY(B212)),"")</f>
        <v/>
      </c>
      <c r="C213" s="20">
        <f>IFERROR(IF(A213&lt;='EMI Calculator'!B7,G212,""),"")</f>
        <v/>
      </c>
      <c r="D213" s="20">
        <f>IFERROR(IF(A213&lt;='EMI Calculator'!B7,'EMI Calculator'!B11,""),"")</f>
        <v/>
      </c>
      <c r="E213" s="20">
        <f>IFERROR(IF(A213&lt;='EMI Calculator'!B7,D213-F213,""),"")</f>
        <v/>
      </c>
      <c r="F213" s="20">
        <f>IFERROR(IF(A213&lt;='EMI Calculator'!B7,C213*'EMI Calculator'!B6/12,""),"")</f>
        <v/>
      </c>
      <c r="G213" s="20">
        <f>IFERROR(IF(A213&lt;='EMI Calculator'!B7,MAX(C213-E213,0),""),"")</f>
        <v/>
      </c>
      <c r="H213" s="20">
        <f>IFERROR(IF(A213&lt;='EMI Calculator'!B7,H212+F213,""),"")</f>
        <v/>
      </c>
      <c r="I213" s="20">
        <f>IFERROR(IF(A213&lt;='EMI Calculator'!B7,I212+E213,""),"")</f>
        <v/>
      </c>
    </row>
    <row r="214">
      <c r="A214" s="21" t="n">
        <v>211</v>
      </c>
      <c r="B214" s="22">
        <f>IFERROR(DATE(YEAR(B213),MONTH(B213)+1,DAY(B213)),"")</f>
        <v/>
      </c>
      <c r="C214" s="23">
        <f>IFERROR(IF(A214&lt;='EMI Calculator'!B7,G213,""),"")</f>
        <v/>
      </c>
      <c r="D214" s="23">
        <f>IFERROR(IF(A214&lt;='EMI Calculator'!B7,'EMI Calculator'!B11,""),"")</f>
        <v/>
      </c>
      <c r="E214" s="23">
        <f>IFERROR(IF(A214&lt;='EMI Calculator'!B7,D214-F214,""),"")</f>
        <v/>
      </c>
      <c r="F214" s="23">
        <f>IFERROR(IF(A214&lt;='EMI Calculator'!B7,C214*'EMI Calculator'!B6/12,""),"")</f>
        <v/>
      </c>
      <c r="G214" s="23">
        <f>IFERROR(IF(A214&lt;='EMI Calculator'!B7,MAX(C214-E214,0),""),"")</f>
        <v/>
      </c>
      <c r="H214" s="23">
        <f>IFERROR(IF(A214&lt;='EMI Calculator'!B7,H213+F214,""),"")</f>
        <v/>
      </c>
      <c r="I214" s="23">
        <f>IFERROR(IF(A214&lt;='EMI Calculator'!B7,I213+E214,""),"")</f>
        <v/>
      </c>
    </row>
    <row r="215">
      <c r="A215" s="18" t="n">
        <v>212</v>
      </c>
      <c r="B215" s="19">
        <f>IFERROR(DATE(YEAR(B214),MONTH(B214)+1,DAY(B214)),"")</f>
        <v/>
      </c>
      <c r="C215" s="20">
        <f>IFERROR(IF(A215&lt;='EMI Calculator'!B7,G214,""),"")</f>
        <v/>
      </c>
      <c r="D215" s="20">
        <f>IFERROR(IF(A215&lt;='EMI Calculator'!B7,'EMI Calculator'!B11,""),"")</f>
        <v/>
      </c>
      <c r="E215" s="20">
        <f>IFERROR(IF(A215&lt;='EMI Calculator'!B7,D215-F215,""),"")</f>
        <v/>
      </c>
      <c r="F215" s="20">
        <f>IFERROR(IF(A215&lt;='EMI Calculator'!B7,C215*'EMI Calculator'!B6/12,""),"")</f>
        <v/>
      </c>
      <c r="G215" s="20">
        <f>IFERROR(IF(A215&lt;='EMI Calculator'!B7,MAX(C215-E215,0),""),"")</f>
        <v/>
      </c>
      <c r="H215" s="20">
        <f>IFERROR(IF(A215&lt;='EMI Calculator'!B7,H214+F215,""),"")</f>
        <v/>
      </c>
      <c r="I215" s="20">
        <f>IFERROR(IF(A215&lt;='EMI Calculator'!B7,I214+E215,""),"")</f>
        <v/>
      </c>
    </row>
    <row r="216">
      <c r="A216" s="21" t="n">
        <v>213</v>
      </c>
      <c r="B216" s="22">
        <f>IFERROR(DATE(YEAR(B215),MONTH(B215)+1,DAY(B215)),"")</f>
        <v/>
      </c>
      <c r="C216" s="23">
        <f>IFERROR(IF(A216&lt;='EMI Calculator'!B7,G215,""),"")</f>
        <v/>
      </c>
      <c r="D216" s="23">
        <f>IFERROR(IF(A216&lt;='EMI Calculator'!B7,'EMI Calculator'!B11,""),"")</f>
        <v/>
      </c>
      <c r="E216" s="23">
        <f>IFERROR(IF(A216&lt;='EMI Calculator'!B7,D216-F216,""),"")</f>
        <v/>
      </c>
      <c r="F216" s="23">
        <f>IFERROR(IF(A216&lt;='EMI Calculator'!B7,C216*'EMI Calculator'!B6/12,""),"")</f>
        <v/>
      </c>
      <c r="G216" s="23">
        <f>IFERROR(IF(A216&lt;='EMI Calculator'!B7,MAX(C216-E216,0),""),"")</f>
        <v/>
      </c>
      <c r="H216" s="23">
        <f>IFERROR(IF(A216&lt;='EMI Calculator'!B7,H215+F216,""),"")</f>
        <v/>
      </c>
      <c r="I216" s="23">
        <f>IFERROR(IF(A216&lt;='EMI Calculator'!B7,I215+E216,""),"")</f>
        <v/>
      </c>
    </row>
    <row r="217">
      <c r="A217" s="18" t="n">
        <v>214</v>
      </c>
      <c r="B217" s="19">
        <f>IFERROR(DATE(YEAR(B216),MONTH(B216)+1,DAY(B216)),"")</f>
        <v/>
      </c>
      <c r="C217" s="20">
        <f>IFERROR(IF(A217&lt;='EMI Calculator'!B7,G216,""),"")</f>
        <v/>
      </c>
      <c r="D217" s="20">
        <f>IFERROR(IF(A217&lt;='EMI Calculator'!B7,'EMI Calculator'!B11,""),"")</f>
        <v/>
      </c>
      <c r="E217" s="20">
        <f>IFERROR(IF(A217&lt;='EMI Calculator'!B7,D217-F217,""),"")</f>
        <v/>
      </c>
      <c r="F217" s="20">
        <f>IFERROR(IF(A217&lt;='EMI Calculator'!B7,C217*'EMI Calculator'!B6/12,""),"")</f>
        <v/>
      </c>
      <c r="G217" s="20">
        <f>IFERROR(IF(A217&lt;='EMI Calculator'!B7,MAX(C217-E217,0),""),"")</f>
        <v/>
      </c>
      <c r="H217" s="20">
        <f>IFERROR(IF(A217&lt;='EMI Calculator'!B7,H216+F217,""),"")</f>
        <v/>
      </c>
      <c r="I217" s="20">
        <f>IFERROR(IF(A217&lt;='EMI Calculator'!B7,I216+E217,""),"")</f>
        <v/>
      </c>
    </row>
    <row r="218">
      <c r="A218" s="21" t="n">
        <v>215</v>
      </c>
      <c r="B218" s="22">
        <f>IFERROR(DATE(YEAR(B217),MONTH(B217)+1,DAY(B217)),"")</f>
        <v/>
      </c>
      <c r="C218" s="23">
        <f>IFERROR(IF(A218&lt;='EMI Calculator'!B7,G217,""),"")</f>
        <v/>
      </c>
      <c r="D218" s="23">
        <f>IFERROR(IF(A218&lt;='EMI Calculator'!B7,'EMI Calculator'!B11,""),"")</f>
        <v/>
      </c>
      <c r="E218" s="23">
        <f>IFERROR(IF(A218&lt;='EMI Calculator'!B7,D218-F218,""),"")</f>
        <v/>
      </c>
      <c r="F218" s="23">
        <f>IFERROR(IF(A218&lt;='EMI Calculator'!B7,C218*'EMI Calculator'!B6/12,""),"")</f>
        <v/>
      </c>
      <c r="G218" s="23">
        <f>IFERROR(IF(A218&lt;='EMI Calculator'!B7,MAX(C218-E218,0),""),"")</f>
        <v/>
      </c>
      <c r="H218" s="23">
        <f>IFERROR(IF(A218&lt;='EMI Calculator'!B7,H217+F218,""),"")</f>
        <v/>
      </c>
      <c r="I218" s="23">
        <f>IFERROR(IF(A218&lt;='EMI Calculator'!B7,I217+E218,""),"")</f>
        <v/>
      </c>
    </row>
    <row r="219">
      <c r="A219" s="18" t="n">
        <v>216</v>
      </c>
      <c r="B219" s="19">
        <f>IFERROR(DATE(YEAR(B218),MONTH(B218)+1,DAY(B218)),"")</f>
        <v/>
      </c>
      <c r="C219" s="20">
        <f>IFERROR(IF(A219&lt;='EMI Calculator'!B7,G218,""),"")</f>
        <v/>
      </c>
      <c r="D219" s="20">
        <f>IFERROR(IF(A219&lt;='EMI Calculator'!B7,'EMI Calculator'!B11,""),"")</f>
        <v/>
      </c>
      <c r="E219" s="20">
        <f>IFERROR(IF(A219&lt;='EMI Calculator'!B7,D219-F219,""),"")</f>
        <v/>
      </c>
      <c r="F219" s="20">
        <f>IFERROR(IF(A219&lt;='EMI Calculator'!B7,C219*'EMI Calculator'!B6/12,""),"")</f>
        <v/>
      </c>
      <c r="G219" s="20">
        <f>IFERROR(IF(A219&lt;='EMI Calculator'!B7,MAX(C219-E219,0),""),"")</f>
        <v/>
      </c>
      <c r="H219" s="20">
        <f>IFERROR(IF(A219&lt;='EMI Calculator'!B7,H218+F219,""),"")</f>
        <v/>
      </c>
      <c r="I219" s="20">
        <f>IFERROR(IF(A219&lt;='EMI Calculator'!B7,I218+E219,""),"")</f>
        <v/>
      </c>
    </row>
    <row r="220">
      <c r="A220" s="21" t="n">
        <v>217</v>
      </c>
      <c r="B220" s="22">
        <f>IFERROR(DATE(YEAR(B219),MONTH(B219)+1,DAY(B219)),"")</f>
        <v/>
      </c>
      <c r="C220" s="23">
        <f>IFERROR(IF(A220&lt;='EMI Calculator'!B7,G219,""),"")</f>
        <v/>
      </c>
      <c r="D220" s="23">
        <f>IFERROR(IF(A220&lt;='EMI Calculator'!B7,'EMI Calculator'!B11,""),"")</f>
        <v/>
      </c>
      <c r="E220" s="23">
        <f>IFERROR(IF(A220&lt;='EMI Calculator'!B7,D220-F220,""),"")</f>
        <v/>
      </c>
      <c r="F220" s="23">
        <f>IFERROR(IF(A220&lt;='EMI Calculator'!B7,C220*'EMI Calculator'!B6/12,""),"")</f>
        <v/>
      </c>
      <c r="G220" s="23">
        <f>IFERROR(IF(A220&lt;='EMI Calculator'!B7,MAX(C220-E220,0),""),"")</f>
        <v/>
      </c>
      <c r="H220" s="23">
        <f>IFERROR(IF(A220&lt;='EMI Calculator'!B7,H219+F220,""),"")</f>
        <v/>
      </c>
      <c r="I220" s="23">
        <f>IFERROR(IF(A220&lt;='EMI Calculator'!B7,I219+E220,""),"")</f>
        <v/>
      </c>
    </row>
    <row r="221">
      <c r="A221" s="18" t="n">
        <v>218</v>
      </c>
      <c r="B221" s="19">
        <f>IFERROR(DATE(YEAR(B220),MONTH(B220)+1,DAY(B220)),"")</f>
        <v/>
      </c>
      <c r="C221" s="20">
        <f>IFERROR(IF(A221&lt;='EMI Calculator'!B7,G220,""),"")</f>
        <v/>
      </c>
      <c r="D221" s="20">
        <f>IFERROR(IF(A221&lt;='EMI Calculator'!B7,'EMI Calculator'!B11,""),"")</f>
        <v/>
      </c>
      <c r="E221" s="20">
        <f>IFERROR(IF(A221&lt;='EMI Calculator'!B7,D221-F221,""),"")</f>
        <v/>
      </c>
      <c r="F221" s="20">
        <f>IFERROR(IF(A221&lt;='EMI Calculator'!B7,C221*'EMI Calculator'!B6/12,""),"")</f>
        <v/>
      </c>
      <c r="G221" s="20">
        <f>IFERROR(IF(A221&lt;='EMI Calculator'!B7,MAX(C221-E221,0),""),"")</f>
        <v/>
      </c>
      <c r="H221" s="20">
        <f>IFERROR(IF(A221&lt;='EMI Calculator'!B7,H220+F221,""),"")</f>
        <v/>
      </c>
      <c r="I221" s="20">
        <f>IFERROR(IF(A221&lt;='EMI Calculator'!B7,I220+E221,""),"")</f>
        <v/>
      </c>
    </row>
    <row r="222">
      <c r="A222" s="21" t="n">
        <v>219</v>
      </c>
      <c r="B222" s="22">
        <f>IFERROR(DATE(YEAR(B221),MONTH(B221)+1,DAY(B221)),"")</f>
        <v/>
      </c>
      <c r="C222" s="23">
        <f>IFERROR(IF(A222&lt;='EMI Calculator'!B7,G221,""),"")</f>
        <v/>
      </c>
      <c r="D222" s="23">
        <f>IFERROR(IF(A222&lt;='EMI Calculator'!B7,'EMI Calculator'!B11,""),"")</f>
        <v/>
      </c>
      <c r="E222" s="23">
        <f>IFERROR(IF(A222&lt;='EMI Calculator'!B7,D222-F222,""),"")</f>
        <v/>
      </c>
      <c r="F222" s="23">
        <f>IFERROR(IF(A222&lt;='EMI Calculator'!B7,C222*'EMI Calculator'!B6/12,""),"")</f>
        <v/>
      </c>
      <c r="G222" s="23">
        <f>IFERROR(IF(A222&lt;='EMI Calculator'!B7,MAX(C222-E222,0),""),"")</f>
        <v/>
      </c>
      <c r="H222" s="23">
        <f>IFERROR(IF(A222&lt;='EMI Calculator'!B7,H221+F222,""),"")</f>
        <v/>
      </c>
      <c r="I222" s="23">
        <f>IFERROR(IF(A222&lt;='EMI Calculator'!B7,I221+E222,""),"")</f>
        <v/>
      </c>
    </row>
    <row r="223">
      <c r="A223" s="18" t="n">
        <v>220</v>
      </c>
      <c r="B223" s="19">
        <f>IFERROR(DATE(YEAR(B222),MONTH(B222)+1,DAY(B222)),"")</f>
        <v/>
      </c>
      <c r="C223" s="20">
        <f>IFERROR(IF(A223&lt;='EMI Calculator'!B7,G222,""),"")</f>
        <v/>
      </c>
      <c r="D223" s="20">
        <f>IFERROR(IF(A223&lt;='EMI Calculator'!B7,'EMI Calculator'!B11,""),"")</f>
        <v/>
      </c>
      <c r="E223" s="20">
        <f>IFERROR(IF(A223&lt;='EMI Calculator'!B7,D223-F223,""),"")</f>
        <v/>
      </c>
      <c r="F223" s="20">
        <f>IFERROR(IF(A223&lt;='EMI Calculator'!B7,C223*'EMI Calculator'!B6/12,""),"")</f>
        <v/>
      </c>
      <c r="G223" s="20">
        <f>IFERROR(IF(A223&lt;='EMI Calculator'!B7,MAX(C223-E223,0),""),"")</f>
        <v/>
      </c>
      <c r="H223" s="20">
        <f>IFERROR(IF(A223&lt;='EMI Calculator'!B7,H222+F223,""),"")</f>
        <v/>
      </c>
      <c r="I223" s="20">
        <f>IFERROR(IF(A223&lt;='EMI Calculator'!B7,I222+E223,""),"")</f>
        <v/>
      </c>
    </row>
    <row r="224">
      <c r="A224" s="21" t="n">
        <v>221</v>
      </c>
      <c r="B224" s="22">
        <f>IFERROR(DATE(YEAR(B223),MONTH(B223)+1,DAY(B223)),"")</f>
        <v/>
      </c>
      <c r="C224" s="23">
        <f>IFERROR(IF(A224&lt;='EMI Calculator'!B7,G223,""),"")</f>
        <v/>
      </c>
      <c r="D224" s="23">
        <f>IFERROR(IF(A224&lt;='EMI Calculator'!B7,'EMI Calculator'!B11,""),"")</f>
        <v/>
      </c>
      <c r="E224" s="23">
        <f>IFERROR(IF(A224&lt;='EMI Calculator'!B7,D224-F224,""),"")</f>
        <v/>
      </c>
      <c r="F224" s="23">
        <f>IFERROR(IF(A224&lt;='EMI Calculator'!B7,C224*'EMI Calculator'!B6/12,""),"")</f>
        <v/>
      </c>
      <c r="G224" s="23">
        <f>IFERROR(IF(A224&lt;='EMI Calculator'!B7,MAX(C224-E224,0),""),"")</f>
        <v/>
      </c>
      <c r="H224" s="23">
        <f>IFERROR(IF(A224&lt;='EMI Calculator'!B7,H223+F224,""),"")</f>
        <v/>
      </c>
      <c r="I224" s="23">
        <f>IFERROR(IF(A224&lt;='EMI Calculator'!B7,I223+E224,""),"")</f>
        <v/>
      </c>
    </row>
    <row r="225">
      <c r="A225" s="18" t="n">
        <v>222</v>
      </c>
      <c r="B225" s="19">
        <f>IFERROR(DATE(YEAR(B224),MONTH(B224)+1,DAY(B224)),"")</f>
        <v/>
      </c>
      <c r="C225" s="20">
        <f>IFERROR(IF(A225&lt;='EMI Calculator'!B7,G224,""),"")</f>
        <v/>
      </c>
      <c r="D225" s="20">
        <f>IFERROR(IF(A225&lt;='EMI Calculator'!B7,'EMI Calculator'!B11,""),"")</f>
        <v/>
      </c>
      <c r="E225" s="20">
        <f>IFERROR(IF(A225&lt;='EMI Calculator'!B7,D225-F225,""),"")</f>
        <v/>
      </c>
      <c r="F225" s="20">
        <f>IFERROR(IF(A225&lt;='EMI Calculator'!B7,C225*'EMI Calculator'!B6/12,""),"")</f>
        <v/>
      </c>
      <c r="G225" s="20">
        <f>IFERROR(IF(A225&lt;='EMI Calculator'!B7,MAX(C225-E225,0),""),"")</f>
        <v/>
      </c>
      <c r="H225" s="20">
        <f>IFERROR(IF(A225&lt;='EMI Calculator'!B7,H224+F225,""),"")</f>
        <v/>
      </c>
      <c r="I225" s="20">
        <f>IFERROR(IF(A225&lt;='EMI Calculator'!B7,I224+E225,""),"")</f>
        <v/>
      </c>
    </row>
    <row r="226">
      <c r="A226" s="21" t="n">
        <v>223</v>
      </c>
      <c r="B226" s="22">
        <f>IFERROR(DATE(YEAR(B225),MONTH(B225)+1,DAY(B225)),"")</f>
        <v/>
      </c>
      <c r="C226" s="23">
        <f>IFERROR(IF(A226&lt;='EMI Calculator'!B7,G225,""),"")</f>
        <v/>
      </c>
      <c r="D226" s="23">
        <f>IFERROR(IF(A226&lt;='EMI Calculator'!B7,'EMI Calculator'!B11,""),"")</f>
        <v/>
      </c>
      <c r="E226" s="23">
        <f>IFERROR(IF(A226&lt;='EMI Calculator'!B7,D226-F226,""),"")</f>
        <v/>
      </c>
      <c r="F226" s="23">
        <f>IFERROR(IF(A226&lt;='EMI Calculator'!B7,C226*'EMI Calculator'!B6/12,""),"")</f>
        <v/>
      </c>
      <c r="G226" s="23">
        <f>IFERROR(IF(A226&lt;='EMI Calculator'!B7,MAX(C226-E226,0),""),"")</f>
        <v/>
      </c>
      <c r="H226" s="23">
        <f>IFERROR(IF(A226&lt;='EMI Calculator'!B7,H225+F226,""),"")</f>
        <v/>
      </c>
      <c r="I226" s="23">
        <f>IFERROR(IF(A226&lt;='EMI Calculator'!B7,I225+E226,""),"")</f>
        <v/>
      </c>
    </row>
    <row r="227">
      <c r="A227" s="18" t="n">
        <v>224</v>
      </c>
      <c r="B227" s="19">
        <f>IFERROR(DATE(YEAR(B226),MONTH(B226)+1,DAY(B226)),"")</f>
        <v/>
      </c>
      <c r="C227" s="20">
        <f>IFERROR(IF(A227&lt;='EMI Calculator'!B7,G226,""),"")</f>
        <v/>
      </c>
      <c r="D227" s="20">
        <f>IFERROR(IF(A227&lt;='EMI Calculator'!B7,'EMI Calculator'!B11,""),"")</f>
        <v/>
      </c>
      <c r="E227" s="20">
        <f>IFERROR(IF(A227&lt;='EMI Calculator'!B7,D227-F227,""),"")</f>
        <v/>
      </c>
      <c r="F227" s="20">
        <f>IFERROR(IF(A227&lt;='EMI Calculator'!B7,C227*'EMI Calculator'!B6/12,""),"")</f>
        <v/>
      </c>
      <c r="G227" s="20">
        <f>IFERROR(IF(A227&lt;='EMI Calculator'!B7,MAX(C227-E227,0),""),"")</f>
        <v/>
      </c>
      <c r="H227" s="20">
        <f>IFERROR(IF(A227&lt;='EMI Calculator'!B7,H226+F227,""),"")</f>
        <v/>
      </c>
      <c r="I227" s="20">
        <f>IFERROR(IF(A227&lt;='EMI Calculator'!B7,I226+E227,""),"")</f>
        <v/>
      </c>
    </row>
    <row r="228">
      <c r="A228" s="21" t="n">
        <v>225</v>
      </c>
      <c r="B228" s="22">
        <f>IFERROR(DATE(YEAR(B227),MONTH(B227)+1,DAY(B227)),"")</f>
        <v/>
      </c>
      <c r="C228" s="23">
        <f>IFERROR(IF(A228&lt;='EMI Calculator'!B7,G227,""),"")</f>
        <v/>
      </c>
      <c r="D228" s="23">
        <f>IFERROR(IF(A228&lt;='EMI Calculator'!B7,'EMI Calculator'!B11,""),"")</f>
        <v/>
      </c>
      <c r="E228" s="23">
        <f>IFERROR(IF(A228&lt;='EMI Calculator'!B7,D228-F228,""),"")</f>
        <v/>
      </c>
      <c r="F228" s="23">
        <f>IFERROR(IF(A228&lt;='EMI Calculator'!B7,C228*'EMI Calculator'!B6/12,""),"")</f>
        <v/>
      </c>
      <c r="G228" s="23">
        <f>IFERROR(IF(A228&lt;='EMI Calculator'!B7,MAX(C228-E228,0),""),"")</f>
        <v/>
      </c>
      <c r="H228" s="23">
        <f>IFERROR(IF(A228&lt;='EMI Calculator'!B7,H227+F228,""),"")</f>
        <v/>
      </c>
      <c r="I228" s="23">
        <f>IFERROR(IF(A228&lt;='EMI Calculator'!B7,I227+E228,""),"")</f>
        <v/>
      </c>
    </row>
    <row r="229">
      <c r="A229" s="18" t="n">
        <v>226</v>
      </c>
      <c r="B229" s="19">
        <f>IFERROR(DATE(YEAR(B228),MONTH(B228)+1,DAY(B228)),"")</f>
        <v/>
      </c>
      <c r="C229" s="20">
        <f>IFERROR(IF(A229&lt;='EMI Calculator'!B7,G228,""),"")</f>
        <v/>
      </c>
      <c r="D229" s="20">
        <f>IFERROR(IF(A229&lt;='EMI Calculator'!B7,'EMI Calculator'!B11,""),"")</f>
        <v/>
      </c>
      <c r="E229" s="20">
        <f>IFERROR(IF(A229&lt;='EMI Calculator'!B7,D229-F229,""),"")</f>
        <v/>
      </c>
      <c r="F229" s="20">
        <f>IFERROR(IF(A229&lt;='EMI Calculator'!B7,C229*'EMI Calculator'!B6/12,""),"")</f>
        <v/>
      </c>
      <c r="G229" s="20">
        <f>IFERROR(IF(A229&lt;='EMI Calculator'!B7,MAX(C229-E229,0),""),"")</f>
        <v/>
      </c>
      <c r="H229" s="20">
        <f>IFERROR(IF(A229&lt;='EMI Calculator'!B7,H228+F229,""),"")</f>
        <v/>
      </c>
      <c r="I229" s="20">
        <f>IFERROR(IF(A229&lt;='EMI Calculator'!B7,I228+E229,""),"")</f>
        <v/>
      </c>
    </row>
    <row r="230">
      <c r="A230" s="21" t="n">
        <v>227</v>
      </c>
      <c r="B230" s="22">
        <f>IFERROR(DATE(YEAR(B229),MONTH(B229)+1,DAY(B229)),"")</f>
        <v/>
      </c>
      <c r="C230" s="23">
        <f>IFERROR(IF(A230&lt;='EMI Calculator'!B7,G229,""),"")</f>
        <v/>
      </c>
      <c r="D230" s="23">
        <f>IFERROR(IF(A230&lt;='EMI Calculator'!B7,'EMI Calculator'!B11,""),"")</f>
        <v/>
      </c>
      <c r="E230" s="23">
        <f>IFERROR(IF(A230&lt;='EMI Calculator'!B7,D230-F230,""),"")</f>
        <v/>
      </c>
      <c r="F230" s="23">
        <f>IFERROR(IF(A230&lt;='EMI Calculator'!B7,C230*'EMI Calculator'!B6/12,""),"")</f>
        <v/>
      </c>
      <c r="G230" s="23">
        <f>IFERROR(IF(A230&lt;='EMI Calculator'!B7,MAX(C230-E230,0),""),"")</f>
        <v/>
      </c>
      <c r="H230" s="23">
        <f>IFERROR(IF(A230&lt;='EMI Calculator'!B7,H229+F230,""),"")</f>
        <v/>
      </c>
      <c r="I230" s="23">
        <f>IFERROR(IF(A230&lt;='EMI Calculator'!B7,I229+E230,""),"")</f>
        <v/>
      </c>
    </row>
    <row r="231">
      <c r="A231" s="18" t="n">
        <v>228</v>
      </c>
      <c r="B231" s="19">
        <f>IFERROR(DATE(YEAR(B230),MONTH(B230)+1,DAY(B230)),"")</f>
        <v/>
      </c>
      <c r="C231" s="20">
        <f>IFERROR(IF(A231&lt;='EMI Calculator'!B7,G230,""),"")</f>
        <v/>
      </c>
      <c r="D231" s="20">
        <f>IFERROR(IF(A231&lt;='EMI Calculator'!B7,'EMI Calculator'!B11,""),"")</f>
        <v/>
      </c>
      <c r="E231" s="20">
        <f>IFERROR(IF(A231&lt;='EMI Calculator'!B7,D231-F231,""),"")</f>
        <v/>
      </c>
      <c r="F231" s="20">
        <f>IFERROR(IF(A231&lt;='EMI Calculator'!B7,C231*'EMI Calculator'!B6/12,""),"")</f>
        <v/>
      </c>
      <c r="G231" s="20">
        <f>IFERROR(IF(A231&lt;='EMI Calculator'!B7,MAX(C231-E231,0),""),"")</f>
        <v/>
      </c>
      <c r="H231" s="20">
        <f>IFERROR(IF(A231&lt;='EMI Calculator'!B7,H230+F231,""),"")</f>
        <v/>
      </c>
      <c r="I231" s="20">
        <f>IFERROR(IF(A231&lt;='EMI Calculator'!B7,I230+E231,""),"")</f>
        <v/>
      </c>
    </row>
    <row r="232">
      <c r="A232" s="21" t="n">
        <v>229</v>
      </c>
      <c r="B232" s="22">
        <f>IFERROR(DATE(YEAR(B231),MONTH(B231)+1,DAY(B231)),"")</f>
        <v/>
      </c>
      <c r="C232" s="23">
        <f>IFERROR(IF(A232&lt;='EMI Calculator'!B7,G231,""),"")</f>
        <v/>
      </c>
      <c r="D232" s="23">
        <f>IFERROR(IF(A232&lt;='EMI Calculator'!B7,'EMI Calculator'!B11,""),"")</f>
        <v/>
      </c>
      <c r="E232" s="23">
        <f>IFERROR(IF(A232&lt;='EMI Calculator'!B7,D232-F232,""),"")</f>
        <v/>
      </c>
      <c r="F232" s="23">
        <f>IFERROR(IF(A232&lt;='EMI Calculator'!B7,C232*'EMI Calculator'!B6/12,""),"")</f>
        <v/>
      </c>
      <c r="G232" s="23">
        <f>IFERROR(IF(A232&lt;='EMI Calculator'!B7,MAX(C232-E232,0),""),"")</f>
        <v/>
      </c>
      <c r="H232" s="23">
        <f>IFERROR(IF(A232&lt;='EMI Calculator'!B7,H231+F232,""),"")</f>
        <v/>
      </c>
      <c r="I232" s="23">
        <f>IFERROR(IF(A232&lt;='EMI Calculator'!B7,I231+E232,""),"")</f>
        <v/>
      </c>
    </row>
    <row r="233">
      <c r="A233" s="18" t="n">
        <v>230</v>
      </c>
      <c r="B233" s="19">
        <f>IFERROR(DATE(YEAR(B232),MONTH(B232)+1,DAY(B232)),"")</f>
        <v/>
      </c>
      <c r="C233" s="20">
        <f>IFERROR(IF(A233&lt;='EMI Calculator'!B7,G232,""),"")</f>
        <v/>
      </c>
      <c r="D233" s="20">
        <f>IFERROR(IF(A233&lt;='EMI Calculator'!B7,'EMI Calculator'!B11,""),"")</f>
        <v/>
      </c>
      <c r="E233" s="20">
        <f>IFERROR(IF(A233&lt;='EMI Calculator'!B7,D233-F233,""),"")</f>
        <v/>
      </c>
      <c r="F233" s="20">
        <f>IFERROR(IF(A233&lt;='EMI Calculator'!B7,C233*'EMI Calculator'!B6/12,""),"")</f>
        <v/>
      </c>
      <c r="G233" s="20">
        <f>IFERROR(IF(A233&lt;='EMI Calculator'!B7,MAX(C233-E233,0),""),"")</f>
        <v/>
      </c>
      <c r="H233" s="20">
        <f>IFERROR(IF(A233&lt;='EMI Calculator'!B7,H232+F233,""),"")</f>
        <v/>
      </c>
      <c r="I233" s="20">
        <f>IFERROR(IF(A233&lt;='EMI Calculator'!B7,I232+E233,""),"")</f>
        <v/>
      </c>
    </row>
    <row r="234">
      <c r="A234" s="21" t="n">
        <v>231</v>
      </c>
      <c r="B234" s="22">
        <f>IFERROR(DATE(YEAR(B233),MONTH(B233)+1,DAY(B233)),"")</f>
        <v/>
      </c>
      <c r="C234" s="23">
        <f>IFERROR(IF(A234&lt;='EMI Calculator'!B7,G233,""),"")</f>
        <v/>
      </c>
      <c r="D234" s="23">
        <f>IFERROR(IF(A234&lt;='EMI Calculator'!B7,'EMI Calculator'!B11,""),"")</f>
        <v/>
      </c>
      <c r="E234" s="23">
        <f>IFERROR(IF(A234&lt;='EMI Calculator'!B7,D234-F234,""),"")</f>
        <v/>
      </c>
      <c r="F234" s="23">
        <f>IFERROR(IF(A234&lt;='EMI Calculator'!B7,C234*'EMI Calculator'!B6/12,""),"")</f>
        <v/>
      </c>
      <c r="G234" s="23">
        <f>IFERROR(IF(A234&lt;='EMI Calculator'!B7,MAX(C234-E234,0),""),"")</f>
        <v/>
      </c>
      <c r="H234" s="23">
        <f>IFERROR(IF(A234&lt;='EMI Calculator'!B7,H233+F234,""),"")</f>
        <v/>
      </c>
      <c r="I234" s="23">
        <f>IFERROR(IF(A234&lt;='EMI Calculator'!B7,I233+E234,""),"")</f>
        <v/>
      </c>
    </row>
    <row r="235">
      <c r="A235" s="18" t="n">
        <v>232</v>
      </c>
      <c r="B235" s="19">
        <f>IFERROR(DATE(YEAR(B234),MONTH(B234)+1,DAY(B234)),"")</f>
        <v/>
      </c>
      <c r="C235" s="20">
        <f>IFERROR(IF(A235&lt;='EMI Calculator'!B7,G234,""),"")</f>
        <v/>
      </c>
      <c r="D235" s="20">
        <f>IFERROR(IF(A235&lt;='EMI Calculator'!B7,'EMI Calculator'!B11,""),"")</f>
        <v/>
      </c>
      <c r="E235" s="20">
        <f>IFERROR(IF(A235&lt;='EMI Calculator'!B7,D235-F235,""),"")</f>
        <v/>
      </c>
      <c r="F235" s="20">
        <f>IFERROR(IF(A235&lt;='EMI Calculator'!B7,C235*'EMI Calculator'!B6/12,""),"")</f>
        <v/>
      </c>
      <c r="G235" s="20">
        <f>IFERROR(IF(A235&lt;='EMI Calculator'!B7,MAX(C235-E235,0),""),"")</f>
        <v/>
      </c>
      <c r="H235" s="20">
        <f>IFERROR(IF(A235&lt;='EMI Calculator'!B7,H234+F235,""),"")</f>
        <v/>
      </c>
      <c r="I235" s="20">
        <f>IFERROR(IF(A235&lt;='EMI Calculator'!B7,I234+E235,""),"")</f>
        <v/>
      </c>
    </row>
    <row r="236">
      <c r="A236" s="21" t="n">
        <v>233</v>
      </c>
      <c r="B236" s="22">
        <f>IFERROR(DATE(YEAR(B235),MONTH(B235)+1,DAY(B235)),"")</f>
        <v/>
      </c>
      <c r="C236" s="23">
        <f>IFERROR(IF(A236&lt;='EMI Calculator'!B7,G235,""),"")</f>
        <v/>
      </c>
      <c r="D236" s="23">
        <f>IFERROR(IF(A236&lt;='EMI Calculator'!B7,'EMI Calculator'!B11,""),"")</f>
        <v/>
      </c>
      <c r="E236" s="23">
        <f>IFERROR(IF(A236&lt;='EMI Calculator'!B7,D236-F236,""),"")</f>
        <v/>
      </c>
      <c r="F236" s="23">
        <f>IFERROR(IF(A236&lt;='EMI Calculator'!B7,C236*'EMI Calculator'!B6/12,""),"")</f>
        <v/>
      </c>
      <c r="G236" s="23">
        <f>IFERROR(IF(A236&lt;='EMI Calculator'!B7,MAX(C236-E236,0),""),"")</f>
        <v/>
      </c>
      <c r="H236" s="23">
        <f>IFERROR(IF(A236&lt;='EMI Calculator'!B7,H235+F236,""),"")</f>
        <v/>
      </c>
      <c r="I236" s="23">
        <f>IFERROR(IF(A236&lt;='EMI Calculator'!B7,I235+E236,""),"")</f>
        <v/>
      </c>
    </row>
    <row r="237">
      <c r="A237" s="18" t="n">
        <v>234</v>
      </c>
      <c r="B237" s="19">
        <f>IFERROR(DATE(YEAR(B236),MONTH(B236)+1,DAY(B236)),"")</f>
        <v/>
      </c>
      <c r="C237" s="20">
        <f>IFERROR(IF(A237&lt;='EMI Calculator'!B7,G236,""),"")</f>
        <v/>
      </c>
      <c r="D237" s="20">
        <f>IFERROR(IF(A237&lt;='EMI Calculator'!B7,'EMI Calculator'!B11,""),"")</f>
        <v/>
      </c>
      <c r="E237" s="20">
        <f>IFERROR(IF(A237&lt;='EMI Calculator'!B7,D237-F237,""),"")</f>
        <v/>
      </c>
      <c r="F237" s="20">
        <f>IFERROR(IF(A237&lt;='EMI Calculator'!B7,C237*'EMI Calculator'!B6/12,""),"")</f>
        <v/>
      </c>
      <c r="G237" s="20">
        <f>IFERROR(IF(A237&lt;='EMI Calculator'!B7,MAX(C237-E237,0),""),"")</f>
        <v/>
      </c>
      <c r="H237" s="20">
        <f>IFERROR(IF(A237&lt;='EMI Calculator'!B7,H236+F237,""),"")</f>
        <v/>
      </c>
      <c r="I237" s="20">
        <f>IFERROR(IF(A237&lt;='EMI Calculator'!B7,I236+E237,""),"")</f>
        <v/>
      </c>
    </row>
    <row r="238">
      <c r="A238" s="21" t="n">
        <v>235</v>
      </c>
      <c r="B238" s="22">
        <f>IFERROR(DATE(YEAR(B237),MONTH(B237)+1,DAY(B237)),"")</f>
        <v/>
      </c>
      <c r="C238" s="23">
        <f>IFERROR(IF(A238&lt;='EMI Calculator'!B7,G237,""),"")</f>
        <v/>
      </c>
      <c r="D238" s="23">
        <f>IFERROR(IF(A238&lt;='EMI Calculator'!B7,'EMI Calculator'!B11,""),"")</f>
        <v/>
      </c>
      <c r="E238" s="23">
        <f>IFERROR(IF(A238&lt;='EMI Calculator'!B7,D238-F238,""),"")</f>
        <v/>
      </c>
      <c r="F238" s="23">
        <f>IFERROR(IF(A238&lt;='EMI Calculator'!B7,C238*'EMI Calculator'!B6/12,""),"")</f>
        <v/>
      </c>
      <c r="G238" s="23">
        <f>IFERROR(IF(A238&lt;='EMI Calculator'!B7,MAX(C238-E238,0),""),"")</f>
        <v/>
      </c>
      <c r="H238" s="23">
        <f>IFERROR(IF(A238&lt;='EMI Calculator'!B7,H237+F238,""),"")</f>
        <v/>
      </c>
      <c r="I238" s="23">
        <f>IFERROR(IF(A238&lt;='EMI Calculator'!B7,I237+E238,""),"")</f>
        <v/>
      </c>
    </row>
    <row r="239">
      <c r="A239" s="18" t="n">
        <v>236</v>
      </c>
      <c r="B239" s="19">
        <f>IFERROR(DATE(YEAR(B238),MONTH(B238)+1,DAY(B238)),"")</f>
        <v/>
      </c>
      <c r="C239" s="20">
        <f>IFERROR(IF(A239&lt;='EMI Calculator'!B7,G238,""),"")</f>
        <v/>
      </c>
      <c r="D239" s="20">
        <f>IFERROR(IF(A239&lt;='EMI Calculator'!B7,'EMI Calculator'!B11,""),"")</f>
        <v/>
      </c>
      <c r="E239" s="20">
        <f>IFERROR(IF(A239&lt;='EMI Calculator'!B7,D239-F239,""),"")</f>
        <v/>
      </c>
      <c r="F239" s="20">
        <f>IFERROR(IF(A239&lt;='EMI Calculator'!B7,C239*'EMI Calculator'!B6/12,""),"")</f>
        <v/>
      </c>
      <c r="G239" s="20">
        <f>IFERROR(IF(A239&lt;='EMI Calculator'!B7,MAX(C239-E239,0),""),"")</f>
        <v/>
      </c>
      <c r="H239" s="20">
        <f>IFERROR(IF(A239&lt;='EMI Calculator'!B7,H238+F239,""),"")</f>
        <v/>
      </c>
      <c r="I239" s="20">
        <f>IFERROR(IF(A239&lt;='EMI Calculator'!B7,I238+E239,""),"")</f>
        <v/>
      </c>
    </row>
    <row r="240">
      <c r="A240" s="21" t="n">
        <v>237</v>
      </c>
      <c r="B240" s="22">
        <f>IFERROR(DATE(YEAR(B239),MONTH(B239)+1,DAY(B239)),"")</f>
        <v/>
      </c>
      <c r="C240" s="23">
        <f>IFERROR(IF(A240&lt;='EMI Calculator'!B7,G239,""),"")</f>
        <v/>
      </c>
      <c r="D240" s="23">
        <f>IFERROR(IF(A240&lt;='EMI Calculator'!B7,'EMI Calculator'!B11,""),"")</f>
        <v/>
      </c>
      <c r="E240" s="23">
        <f>IFERROR(IF(A240&lt;='EMI Calculator'!B7,D240-F240,""),"")</f>
        <v/>
      </c>
      <c r="F240" s="23">
        <f>IFERROR(IF(A240&lt;='EMI Calculator'!B7,C240*'EMI Calculator'!B6/12,""),"")</f>
        <v/>
      </c>
      <c r="G240" s="23">
        <f>IFERROR(IF(A240&lt;='EMI Calculator'!B7,MAX(C240-E240,0),""),"")</f>
        <v/>
      </c>
      <c r="H240" s="23">
        <f>IFERROR(IF(A240&lt;='EMI Calculator'!B7,H239+F240,""),"")</f>
        <v/>
      </c>
      <c r="I240" s="23">
        <f>IFERROR(IF(A240&lt;='EMI Calculator'!B7,I239+E240,""),"")</f>
        <v/>
      </c>
    </row>
    <row r="241">
      <c r="A241" s="18" t="n">
        <v>238</v>
      </c>
      <c r="B241" s="19">
        <f>IFERROR(DATE(YEAR(B240),MONTH(B240)+1,DAY(B240)),"")</f>
        <v/>
      </c>
      <c r="C241" s="20">
        <f>IFERROR(IF(A241&lt;='EMI Calculator'!B7,G240,""),"")</f>
        <v/>
      </c>
      <c r="D241" s="20">
        <f>IFERROR(IF(A241&lt;='EMI Calculator'!B7,'EMI Calculator'!B11,""),"")</f>
        <v/>
      </c>
      <c r="E241" s="20">
        <f>IFERROR(IF(A241&lt;='EMI Calculator'!B7,D241-F241,""),"")</f>
        <v/>
      </c>
      <c r="F241" s="20">
        <f>IFERROR(IF(A241&lt;='EMI Calculator'!B7,C241*'EMI Calculator'!B6/12,""),"")</f>
        <v/>
      </c>
      <c r="G241" s="20">
        <f>IFERROR(IF(A241&lt;='EMI Calculator'!B7,MAX(C241-E241,0),""),"")</f>
        <v/>
      </c>
      <c r="H241" s="20">
        <f>IFERROR(IF(A241&lt;='EMI Calculator'!B7,H240+F241,""),"")</f>
        <v/>
      </c>
      <c r="I241" s="20">
        <f>IFERROR(IF(A241&lt;='EMI Calculator'!B7,I240+E241,""),"")</f>
        <v/>
      </c>
    </row>
    <row r="242">
      <c r="A242" s="21" t="n">
        <v>239</v>
      </c>
      <c r="B242" s="22">
        <f>IFERROR(DATE(YEAR(B241),MONTH(B241)+1,DAY(B241)),"")</f>
        <v/>
      </c>
      <c r="C242" s="23">
        <f>IFERROR(IF(A242&lt;='EMI Calculator'!B7,G241,""),"")</f>
        <v/>
      </c>
      <c r="D242" s="23">
        <f>IFERROR(IF(A242&lt;='EMI Calculator'!B7,'EMI Calculator'!B11,""),"")</f>
        <v/>
      </c>
      <c r="E242" s="23">
        <f>IFERROR(IF(A242&lt;='EMI Calculator'!B7,D242-F242,""),"")</f>
        <v/>
      </c>
      <c r="F242" s="23">
        <f>IFERROR(IF(A242&lt;='EMI Calculator'!B7,C242*'EMI Calculator'!B6/12,""),"")</f>
        <v/>
      </c>
      <c r="G242" s="23">
        <f>IFERROR(IF(A242&lt;='EMI Calculator'!B7,MAX(C242-E242,0),""),"")</f>
        <v/>
      </c>
      <c r="H242" s="23">
        <f>IFERROR(IF(A242&lt;='EMI Calculator'!B7,H241+F242,""),"")</f>
        <v/>
      </c>
      <c r="I242" s="23">
        <f>IFERROR(IF(A242&lt;='EMI Calculator'!B7,I241+E242,""),"")</f>
        <v/>
      </c>
    </row>
    <row r="243">
      <c r="A243" s="18" t="n">
        <v>240</v>
      </c>
      <c r="B243" s="19">
        <f>IFERROR(DATE(YEAR(B242),MONTH(B242)+1,DAY(B242)),"")</f>
        <v/>
      </c>
      <c r="C243" s="20">
        <f>IFERROR(IF(A243&lt;='EMI Calculator'!B7,G242,""),"")</f>
        <v/>
      </c>
      <c r="D243" s="20">
        <f>IFERROR(IF(A243&lt;='EMI Calculator'!B7,'EMI Calculator'!B11,""),"")</f>
        <v/>
      </c>
      <c r="E243" s="20">
        <f>IFERROR(IF(A243&lt;='EMI Calculator'!B7,D243-F243,""),"")</f>
        <v/>
      </c>
      <c r="F243" s="20">
        <f>IFERROR(IF(A243&lt;='EMI Calculator'!B7,C243*'EMI Calculator'!B6/12,""),"")</f>
        <v/>
      </c>
      <c r="G243" s="20">
        <f>IFERROR(IF(A243&lt;='EMI Calculator'!B7,MAX(C243-E243,0),""),"")</f>
        <v/>
      </c>
      <c r="H243" s="20">
        <f>IFERROR(IF(A243&lt;='EMI Calculator'!B7,H242+F243,""),"")</f>
        <v/>
      </c>
      <c r="I243" s="20">
        <f>IFERROR(IF(A243&lt;='EMI Calculator'!B7,I242+E243,""),"")</f>
        <v/>
      </c>
    </row>
    <row r="244">
      <c r="A244" s="24" t="inlineStr">
        <is>
          <t>TOTALS</t>
        </is>
      </c>
      <c r="D244" s="25">
        <f>SUM(D4:D243)</f>
        <v/>
      </c>
      <c r="E244" s="25">
        <f>SUM(E4:E243)</f>
        <v/>
      </c>
      <c r="F244" s="25">
        <f>SUM(F4:F243)</f>
        <v/>
      </c>
    </row>
    <row r="246">
      <c r="A246" s="15" t="inlineStr">
        <is>
          <t>Navneet Priye Chauhan — Finance &amp; Operations Consultant | Free Template: Loan EMI Calculator</t>
        </is>
      </c>
    </row>
  </sheetData>
  <mergeCells count="3">
    <mergeCell ref="A1:I1"/>
    <mergeCell ref="A246:I246"/>
    <mergeCell ref="A244:B2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2026-03-11T10:46:36Z</dcterms:created>
  <dcterms:modified xmlns:dcterms="http://purl.org/dc/terms/" xmlns:xsi="http://www.w3.org/2001/XMLSchema-instance" xsi:type="dcterms:W3CDTF">2026-03-11T10:46:37Z</dcterms:modified>
</cp:coreProperties>
</file>