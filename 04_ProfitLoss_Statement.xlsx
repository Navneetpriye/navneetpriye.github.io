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FA3BC"/>
      <sz val="9"/>
    </font>
    <font>
      <name val="Arial"/>
      <b val="1"/>
      <color rgb="00FFFFFF"/>
      <sz val="10"/>
    </font>
    <font>
      <name val="Arial"/>
      <color rgb="00374151"/>
      <sz val="10"/>
    </font>
    <font>
      <name val="Arial"/>
      <color rgb="000000FF"/>
      <sz val="9"/>
    </font>
    <font>
      <name val="Arial"/>
      <b val="1"/>
      <color rgb="00374151"/>
      <sz val="10"/>
    </font>
    <font>
      <name val="Arial"/>
      <b val="1"/>
      <color rgb="000B1628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0B1628"/>
      <sz val="9"/>
    </font>
    <font>
      <name val="Arial"/>
      <i val="1"/>
      <color rgb="008FA3BC"/>
      <sz val="8"/>
    </font>
  </fonts>
  <fills count="11">
    <fill>
      <patternFill/>
    </fill>
    <fill>
      <patternFill patternType="gray125"/>
    </fill>
    <fill>
      <patternFill patternType="solid">
        <fgColor rgb="000B1628"/>
      </patternFill>
    </fill>
    <fill>
      <patternFill patternType="solid">
        <fgColor rgb="00F0F3F7"/>
      </patternFill>
    </fill>
    <fill>
      <patternFill patternType="solid">
        <fgColor rgb="002A7F6F"/>
      </patternFill>
    </fill>
    <fill>
      <patternFill patternType="solid">
        <fgColor rgb="00F5E6C0"/>
      </patternFill>
    </fill>
    <fill>
      <patternFill patternType="solid">
        <fgColor rgb="00F4F6F9"/>
      </patternFill>
    </fill>
    <fill>
      <patternFill patternType="solid">
        <fgColor rgb="00D0EDE9"/>
      </patternFill>
    </fill>
    <fill>
      <patternFill patternType="solid">
        <fgColor rgb="002C6FAC"/>
      </patternFill>
    </fill>
    <fill>
      <patternFill patternType="solid">
        <fgColor rgb="00C9A84C"/>
      </patternFill>
    </fill>
    <fill>
      <patternFill patternType="solid">
        <fgColor rgb="00F9F9F9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/>
    </xf>
    <xf numFmtId="164" fontId="9" fillId="6" borderId="1" applyAlignment="1" pivotButton="0" quotePrefix="0" xfId="0">
      <alignment horizontal="right"/>
    </xf>
    <xf numFmtId="165" fontId="9" fillId="6" borderId="1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 indent="1"/>
    </xf>
    <xf numFmtId="165" fontId="10" fillId="6" borderId="1" applyAlignment="1" pivotButton="0" quotePrefix="0" xfId="0">
      <alignment horizontal="right"/>
    </xf>
    <xf numFmtId="0" fontId="3" fillId="7" borderId="1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 indent="1"/>
    </xf>
    <xf numFmtId="164" fontId="10" fillId="6" borderId="1" applyAlignment="1" pivotButton="0" quotePrefix="0" xfId="0">
      <alignment horizontal="right"/>
    </xf>
    <xf numFmtId="0" fontId="7" fillId="9" borderId="1" applyAlignment="1" pivotButton="0" quotePrefix="0" xfId="0">
      <alignment horizontal="left" vertical="center"/>
    </xf>
    <xf numFmtId="164" fontId="11" fillId="9" borderId="1" applyAlignment="1" pivotButton="0" quotePrefix="0" xfId="0">
      <alignment horizontal="right"/>
    </xf>
    <xf numFmtId="0" fontId="12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  <col width="12" customWidth="1" min="7" max="7"/>
    <col width="4" customWidth="1" min="8" max="8"/>
  </cols>
  <sheetData>
    <row r="1" ht="40" customHeight="1">
      <c r="A1" s="1" t="inlineStr">
        <is>
          <t>Profit &amp; Loss Statement</t>
        </is>
      </c>
    </row>
    <row r="2">
      <c r="A2" s="2" t="inlineStr">
        <is>
          <t>Enter figures in blue cells. All subtotals and margins calculate automatically.</t>
        </is>
      </c>
    </row>
    <row r="4" ht="22" customHeight="1">
      <c r="A4" s="3" t="inlineStr">
        <is>
          <t>Particulars</t>
        </is>
      </c>
      <c r="B4" s="4" t="n"/>
      <c r="C4" s="5" t="inlineStr">
        <is>
          <t>FY 2023</t>
        </is>
      </c>
      <c r="D4" s="5" t="inlineStr">
        <is>
          <t>FY 2024</t>
        </is>
      </c>
      <c r="E4" s="5" t="inlineStr">
        <is>
          <t>FY 2025</t>
        </is>
      </c>
      <c r="F4" s="6" t="inlineStr">
        <is>
          <t>YoY Change</t>
        </is>
      </c>
      <c r="G4" s="6" t="inlineStr">
        <is>
          <t>% Change</t>
        </is>
      </c>
    </row>
    <row r="5" ht="20" customHeight="1">
      <c r="A5" s="7" t="inlineStr">
        <is>
          <t xml:space="preserve">  REVENUE</t>
        </is>
      </c>
    </row>
    <row r="6">
      <c r="A6" s="8" t="inlineStr">
        <is>
          <t>Product / Service Revenue</t>
        </is>
      </c>
      <c r="B6" s="4" t="n"/>
      <c r="C6" s="9" t="n">
        <v>4200000</v>
      </c>
      <c r="D6" s="9" t="n">
        <v>4704000</v>
      </c>
      <c r="E6" s="9" t="n">
        <v>4956000</v>
      </c>
    </row>
    <row r="7">
      <c r="A7" s="8" t="inlineStr">
        <is>
          <t>Other Operating Income</t>
        </is>
      </c>
      <c r="B7" s="4" t="n"/>
      <c r="C7" s="9" t="n">
        <v>180000</v>
      </c>
      <c r="D7" s="9" t="n">
        <v>201600</v>
      </c>
      <c r="E7" s="9" t="n">
        <v>212400</v>
      </c>
    </row>
    <row r="8">
      <c r="A8" s="10" t="inlineStr">
        <is>
          <t>TOTAL REVENUE</t>
        </is>
      </c>
      <c r="B8" s="4" t="n"/>
      <c r="C8" s="11">
        <f>C6+C7</f>
        <v/>
      </c>
      <c r="D8" s="11">
        <f>D6+D7</f>
        <v/>
      </c>
      <c r="E8" s="11">
        <f>E6+E7</f>
        <v/>
      </c>
      <c r="F8" s="12">
        <f>IFERROR(E8-D8,"")</f>
        <v/>
      </c>
      <c r="G8" s="13">
        <f>IFERROR((E8-D8)/ABS(D8),"")</f>
        <v/>
      </c>
    </row>
    <row r="10" ht="20" customHeight="1">
      <c r="A10" s="14" t="inlineStr">
        <is>
          <t xml:space="preserve">  COST OF GOODS SOLD</t>
        </is>
      </c>
    </row>
    <row r="11">
      <c r="A11" s="8" t="inlineStr">
        <is>
          <t>Direct Material Cost</t>
        </is>
      </c>
      <c r="B11" s="4" t="n"/>
      <c r="C11" s="9" t="n">
        <v>1260000</v>
      </c>
      <c r="D11" s="9" t="n">
        <v>1411200</v>
      </c>
      <c r="E11" s="9" t="n">
        <v>1486800</v>
      </c>
    </row>
    <row r="12">
      <c r="A12" s="8" t="inlineStr">
        <is>
          <t>Direct Labour Cost</t>
        </is>
      </c>
      <c r="B12" s="4" t="n"/>
      <c r="C12" s="9" t="n">
        <v>630000</v>
      </c>
      <c r="D12" s="9" t="n">
        <v>705600</v>
      </c>
      <c r="E12" s="9" t="n">
        <v>743400</v>
      </c>
    </row>
    <row r="13">
      <c r="A13" s="8" t="inlineStr">
        <is>
          <t>Manufacturing Overhead</t>
        </is>
      </c>
      <c r="B13" s="4" t="n"/>
      <c r="C13" s="9" t="n">
        <v>210000</v>
      </c>
      <c r="D13" s="9" t="n">
        <v>235200</v>
      </c>
      <c r="E13" s="9" t="n">
        <v>247800</v>
      </c>
    </row>
    <row r="14">
      <c r="A14" s="10" t="inlineStr">
        <is>
          <t>GROSS PROFIT</t>
        </is>
      </c>
      <c r="B14" s="4" t="n"/>
      <c r="C14" s="12">
        <f>C8-(C11+C12+C13)</f>
        <v/>
      </c>
      <c r="D14" s="12">
        <f>D8-(D11+D12+D13)</f>
        <v/>
      </c>
      <c r="E14" s="12">
        <f>E8-(E11+E12+E13)</f>
        <v/>
      </c>
    </row>
    <row r="15">
      <c r="A15" s="10" t="inlineStr">
        <is>
          <t>Gross Margin %</t>
        </is>
      </c>
      <c r="B15" s="4" t="n"/>
      <c r="C15" s="15">
        <f>IFERROR(C14/C8,0)</f>
        <v/>
      </c>
      <c r="D15" s="15">
        <f>IFERROR(D14/D8,0)</f>
        <v/>
      </c>
      <c r="E15" s="15">
        <f>IFERROR(E14/E8,0)</f>
        <v/>
      </c>
    </row>
    <row r="17" ht="20" customHeight="1">
      <c r="A17" s="14" t="inlineStr">
        <is>
          <t xml:space="preserve">  OPERATING EXPENSES</t>
        </is>
      </c>
    </row>
    <row r="18">
      <c r="A18" s="8" t="inlineStr">
        <is>
          <t>Salaries &amp; Wages</t>
        </is>
      </c>
      <c r="B18" s="4" t="n"/>
      <c r="C18" s="9" t="n">
        <v>840000</v>
      </c>
      <c r="D18" s="9" t="n">
        <v>940800</v>
      </c>
      <c r="E18" s="9" t="n">
        <v>991200</v>
      </c>
    </row>
    <row r="19">
      <c r="A19" s="8" t="inlineStr">
        <is>
          <t>Rent &amp; Utilities</t>
        </is>
      </c>
      <c r="B19" s="4" t="n"/>
      <c r="C19" s="9" t="n">
        <v>360000</v>
      </c>
      <c r="D19" s="9" t="n">
        <v>403200</v>
      </c>
      <c r="E19" s="9" t="n">
        <v>424800</v>
      </c>
    </row>
    <row r="20">
      <c r="A20" s="8" t="inlineStr">
        <is>
          <t>Marketing &amp; Advertising</t>
        </is>
      </c>
      <c r="B20" s="4" t="n"/>
      <c r="C20" s="9" t="n">
        <v>180000</v>
      </c>
      <c r="D20" s="9" t="n">
        <v>201600</v>
      </c>
      <c r="E20" s="9" t="n">
        <v>212400</v>
      </c>
    </row>
    <row r="21">
      <c r="A21" s="8" t="inlineStr">
        <is>
          <t>Depreciation</t>
        </is>
      </c>
      <c r="B21" s="4" t="n"/>
      <c r="C21" s="9" t="n">
        <v>120000</v>
      </c>
      <c r="D21" s="9" t="n">
        <v>134400</v>
      </c>
      <c r="E21" s="9" t="n">
        <v>141600</v>
      </c>
    </row>
    <row r="22">
      <c r="A22" s="8" t="inlineStr">
        <is>
          <t>Professional Fees</t>
        </is>
      </c>
      <c r="B22" s="4" t="n"/>
      <c r="C22" s="9" t="n">
        <v>90000</v>
      </c>
      <c r="D22" s="9" t="n">
        <v>100800</v>
      </c>
      <c r="E22" s="9" t="n">
        <v>106200</v>
      </c>
    </row>
    <row r="23">
      <c r="A23" s="8" t="inlineStr">
        <is>
          <t>Other Admin Expenses</t>
        </is>
      </c>
      <c r="B23" s="4" t="n"/>
      <c r="C23" s="9" t="n">
        <v>150000</v>
      </c>
      <c r="D23" s="9" t="n">
        <v>168000</v>
      </c>
      <c r="E23" s="9" t="n">
        <v>177000</v>
      </c>
    </row>
    <row r="24">
      <c r="A24" s="10" t="inlineStr">
        <is>
          <t>TOTAL OPEX</t>
        </is>
      </c>
      <c r="B24" s="4" t="n"/>
      <c r="C24" s="12">
        <f>C18+C19+C20+C21+C22+C23</f>
        <v/>
      </c>
      <c r="D24" s="12">
        <f>D18+D19+D20+D21+D22+D23</f>
        <v/>
      </c>
      <c r="E24" s="12">
        <f>E18+E19+E20+E21+E22+E23</f>
        <v/>
      </c>
    </row>
    <row r="25">
      <c r="A25" s="16" t="inlineStr">
        <is>
          <t>OPERATING PROFIT (EBIT)</t>
        </is>
      </c>
      <c r="B25" s="4" t="n"/>
      <c r="C25" s="11">
        <f>C14-(C18+C19+C20+C21+C22+C23)</f>
        <v/>
      </c>
      <c r="D25" s="11">
        <f>D14-(D18+D19+D20+D21+D22+D23)</f>
        <v/>
      </c>
      <c r="E25" s="11">
        <f>E14-(E18+E19+E20+E21+E22+E23)</f>
        <v/>
      </c>
    </row>
    <row r="26">
      <c r="A26" s="10" t="inlineStr">
        <is>
          <t>EBIT Margin %</t>
        </is>
      </c>
      <c r="B26" s="4" t="n"/>
      <c r="C26" s="15">
        <f>IFERROR(C25/C8,0)</f>
        <v/>
      </c>
      <c r="D26" s="15">
        <f>IFERROR(D25/D8,0)</f>
        <v/>
      </c>
      <c r="E26" s="15">
        <f>IFERROR(E25/E8,0)</f>
        <v/>
      </c>
    </row>
    <row r="28" ht="20" customHeight="1">
      <c r="A28" s="17" t="inlineStr">
        <is>
          <t xml:space="preserve">  OTHER INCOME / EXPENSES</t>
        </is>
      </c>
    </row>
    <row r="29">
      <c r="A29" s="8" t="inlineStr">
        <is>
          <t>Interest Income</t>
        </is>
      </c>
      <c r="B29" s="4" t="n"/>
      <c r="C29" s="9" t="n">
        <v>45000</v>
      </c>
      <c r="D29" s="9" t="n">
        <v>50400</v>
      </c>
      <c r="E29" s="9" t="n">
        <v>53100</v>
      </c>
    </row>
    <row r="30">
      <c r="A30" s="8" t="inlineStr">
        <is>
          <t>Interest Expense</t>
        </is>
      </c>
      <c r="B30" s="4" t="n"/>
      <c r="C30" s="9" t="n">
        <v>-95000</v>
      </c>
      <c r="D30" s="9" t="n">
        <v>-102600</v>
      </c>
      <c r="E30" s="9" t="n">
        <v>-109250</v>
      </c>
    </row>
    <row r="31">
      <c r="A31" s="8" t="inlineStr">
        <is>
          <t>Exceptional Items</t>
        </is>
      </c>
      <c r="B31" s="4" t="n"/>
      <c r="C31" s="9" t="n">
        <v>0</v>
      </c>
      <c r="D31" s="9" t="n">
        <v>0</v>
      </c>
      <c r="E31" s="9" t="n">
        <v>0</v>
      </c>
    </row>
    <row r="32">
      <c r="A32" s="10" t="inlineStr">
        <is>
          <t>PROFIT BEFORE TAX</t>
        </is>
      </c>
      <c r="B32" s="4" t="n"/>
      <c r="C32" s="12">
        <f>C25+(C29+C30+C31)</f>
        <v/>
      </c>
      <c r="D32" s="12">
        <f>D25+(D29+D30+D31)</f>
        <v/>
      </c>
      <c r="E32" s="12">
        <f>E25+(E29+E30+E31)</f>
        <v/>
      </c>
    </row>
    <row r="33">
      <c r="A33" s="10" t="inlineStr">
        <is>
          <t>Income Tax (30%)</t>
        </is>
      </c>
      <c r="B33" s="4" t="n"/>
      <c r="C33" s="18">
        <f>IFERROR(C32*0.3,0)</f>
        <v/>
      </c>
      <c r="D33" s="18">
        <f>IFERROR(D32*0.3,0)</f>
        <v/>
      </c>
      <c r="E33" s="18">
        <f>IFERROR(E32*0.3,0)</f>
        <v/>
      </c>
    </row>
    <row r="34">
      <c r="A34" s="19" t="inlineStr">
        <is>
          <t>NET PROFIT (PAT)</t>
        </is>
      </c>
      <c r="B34" s="4" t="n"/>
      <c r="C34" s="20">
        <f>C32-C33</f>
        <v/>
      </c>
      <c r="D34" s="20">
        <f>D32-D33</f>
        <v/>
      </c>
      <c r="E34" s="20">
        <f>E32-E33</f>
        <v/>
      </c>
    </row>
    <row r="35">
      <c r="A35" s="10" t="inlineStr">
        <is>
          <t>Net Profit Margin %</t>
        </is>
      </c>
      <c r="B35" s="4" t="n"/>
      <c r="C35" s="15">
        <f>IFERROR(C34/C8,0)</f>
        <v/>
      </c>
      <c r="D35" s="15">
        <f>IFERROR(D34/D8,0)</f>
        <v/>
      </c>
      <c r="E35" s="15">
        <f>IFERROR(E34/E8,0)</f>
        <v/>
      </c>
    </row>
    <row r="38">
      <c r="A38" s="21" t="inlineStr">
        <is>
          <t>Navneet Priye Chauhan — Finance &amp; Operations Consultant | Free Template: Profit &amp; Loss Statement</t>
        </is>
      </c>
    </row>
  </sheetData>
  <mergeCells count="32">
    <mergeCell ref="A24:B24"/>
    <mergeCell ref="A30:B30"/>
    <mergeCell ref="A15:B15"/>
    <mergeCell ref="A17:G17"/>
    <mergeCell ref="A11:B11"/>
    <mergeCell ref="A1:H1"/>
    <mergeCell ref="A6:B6"/>
    <mergeCell ref="A10:G10"/>
    <mergeCell ref="A28:G28"/>
    <mergeCell ref="A7:B7"/>
    <mergeCell ref="A25:B25"/>
    <mergeCell ref="A18:B18"/>
    <mergeCell ref="A12:B12"/>
    <mergeCell ref="A34:B34"/>
    <mergeCell ref="A26:B26"/>
    <mergeCell ref="A21:B21"/>
    <mergeCell ref="A33:B33"/>
    <mergeCell ref="A2:H2"/>
    <mergeCell ref="A32:B32"/>
    <mergeCell ref="A14:B14"/>
    <mergeCell ref="A23:B23"/>
    <mergeCell ref="A8:B8"/>
    <mergeCell ref="A22:B22"/>
    <mergeCell ref="A35:B35"/>
    <mergeCell ref="A4:B4"/>
    <mergeCell ref="A20:B20"/>
    <mergeCell ref="A29:B29"/>
    <mergeCell ref="A19:B19"/>
    <mergeCell ref="A38:H38"/>
    <mergeCell ref="A13:B13"/>
    <mergeCell ref="A31:B3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2026-03-11T10:47:32Z</dcterms:created>
  <dcterms:modified xmlns:dcterms="http://purl.org/dc/terms/" xmlns:xsi="http://www.w3.org/2001/XMLSchema-instance" xsi:type="dcterms:W3CDTF">2026-03-11T10:47:32Z</dcterms:modified>
</cp:coreProperties>
</file>