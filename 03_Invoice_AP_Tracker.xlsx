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FA3BC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</font>
    <font>
      <name val="Arial"/>
      <b val="1"/>
      <color rgb="00374151"/>
      <sz val="10"/>
    </font>
    <font>
      <name val="Arial"/>
      <b val="1"/>
      <color rgb="000B1628"/>
    </font>
    <font>
      <name val="Arial"/>
      <i val="1"/>
      <color rgb="008FA3BC"/>
      <sz val="8"/>
    </font>
  </fonts>
  <fills count="9">
    <fill>
      <patternFill/>
    </fill>
    <fill>
      <patternFill patternType="gray125"/>
    </fill>
    <fill>
      <patternFill patternType="solid">
        <fgColor rgb="000B1628"/>
      </patternFill>
    </fill>
    <fill>
      <patternFill patternType="solid">
        <fgColor rgb="00F0F3F7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2A7F6F"/>
      </patternFill>
    </fill>
    <fill>
      <patternFill patternType="solid">
        <fgColor rgb="00F5E6C0"/>
      </patternFill>
    </fill>
    <fill>
      <patternFill patternType="solid">
        <fgColor rgb="00F9F9F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2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8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/>
    </xf>
    <xf numFmtId="4" fontId="6" fillId="2" borderId="1" applyAlignment="1" pivotButton="0" quotePrefix="0" xfId="0">
      <alignment horizontal="right"/>
    </xf>
    <xf numFmtId="0" fontId="9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3" customWidth="1" min="4" max="4"/>
    <col width="13" customWidth="1" min="5" max="5"/>
    <col width="18" customWidth="1" min="6" max="6"/>
    <col width="18" customWidth="1" min="7" max="7"/>
    <col width="18" customWidth="1" min="8" max="8"/>
    <col width="13" customWidth="1" min="9" max="9"/>
    <col width="14" customWidth="1" min="10" max="10"/>
    <col width="12" customWidth="1" min="11" max="11"/>
    <col width="12" customWidth="1" min="12" max="12"/>
    <col width="20" customWidth="1" min="13" max="13"/>
    <col width="4" customWidth="1" min="14" max="14"/>
    <col width="24" customWidth="1" min="15" max="15"/>
    <col width="8" customWidth="1" min="16" max="16"/>
    <col width="16" customWidth="1" min="17" max="17"/>
  </cols>
  <sheetData>
    <row r="1" ht="40" customHeight="1">
      <c r="A1" s="1" t="inlineStr">
        <is>
          <t>Invoice &amp; Accounts Payable Tracker</t>
        </is>
      </c>
    </row>
    <row r="2">
      <c r="A2" s="2" t="inlineStr">
        <is>
          <t>Track all vendor invoices. Status auto-updates. Overdue invoices highlighted in red.</t>
        </is>
      </c>
    </row>
    <row r="4" ht="20" customHeight="1">
      <c r="A4" s="3" t="inlineStr">
        <is>
          <t>#</t>
        </is>
      </c>
      <c r="B4" s="3" t="inlineStr">
        <is>
          <t>Invoice No.</t>
        </is>
      </c>
      <c r="C4" s="3" t="inlineStr">
        <is>
          <t>Vendor Name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Invoice Amount (₹)</t>
        </is>
      </c>
      <c r="G4" s="3" t="inlineStr">
        <is>
          <t>Amount Paid (₹)</t>
        </is>
      </c>
      <c r="H4" s="3" t="inlineStr">
        <is>
          <t>Balance Due (₹)</t>
        </is>
      </c>
      <c r="I4" s="3" t="inlineStr">
        <is>
          <t>Payment Date</t>
        </is>
      </c>
      <c r="J4" s="3" t="inlineStr">
        <is>
          <t>Payment Mode</t>
        </is>
      </c>
      <c r="K4" s="3" t="inlineStr">
        <is>
          <t>Status</t>
        </is>
      </c>
      <c r="L4" s="3" t="inlineStr">
        <is>
          <t>Days Overdue</t>
        </is>
      </c>
      <c r="M4" s="3" t="inlineStr">
        <is>
          <t>Remarks</t>
        </is>
      </c>
      <c r="O4" s="4" t="inlineStr">
        <is>
          <t xml:space="preserve">  SUMMARY</t>
        </is>
      </c>
    </row>
    <row r="5">
      <c r="A5" s="5" t="n">
        <v>1</v>
      </c>
      <c r="B5" s="6" t="inlineStr">
        <is>
          <t>INV-001</t>
        </is>
      </c>
      <c r="C5" s="6" t="inlineStr">
        <is>
          <t>ABC Suppliers</t>
        </is>
      </c>
      <c r="D5" s="7" t="inlineStr">
        <is>
          <t>2025-01-05</t>
        </is>
      </c>
      <c r="E5" s="7" t="inlineStr">
        <is>
          <t>2025-01-20</t>
        </is>
      </c>
      <c r="F5" s="8" t="n">
        <v>45000</v>
      </c>
      <c r="G5" s="8" t="n">
        <v>45000</v>
      </c>
      <c r="H5" s="8">
        <f>IFERROR(IF(F5="","",F5-G5),0)</f>
        <v/>
      </c>
      <c r="I5" s="7" t="inlineStr">
        <is>
          <t>2025-01-18</t>
        </is>
      </c>
      <c r="J5" s="5" t="inlineStr">
        <is>
          <t>NEFT</t>
        </is>
      </c>
      <c r="K5" s="5">
        <f>IFERROR(IF(F5="","",IF(H5=0,"Paid",IF(TODAY()&gt;E5,"Overdue",IF(TODAY()=E5,"Due Today","Pending")))),"")</f>
        <v/>
      </c>
      <c r="L5" s="9">
        <f>IFERROR(IF(AND(F5&lt;&gt;"",H5&gt;0,TODAY()&gt;E5),TODAY()-E5,""),"")</f>
        <v/>
      </c>
      <c r="M5" s="6" t="n"/>
      <c r="O5" s="10" t="inlineStr">
        <is>
          <t>Total Invoices</t>
        </is>
      </c>
      <c r="P5" s="11" t="n"/>
      <c r="Q5" s="12">
        <f>COUNTA(B5:B104)</f>
        <v/>
      </c>
    </row>
    <row r="6">
      <c r="A6" s="13" t="n">
        <v>2</v>
      </c>
      <c r="B6" s="14" t="inlineStr">
        <is>
          <t>INV-002</t>
        </is>
      </c>
      <c r="C6" s="14" t="inlineStr">
        <is>
          <t>XYZ Services</t>
        </is>
      </c>
      <c r="D6" s="15" t="inlineStr">
        <is>
          <t>2025-01-10</t>
        </is>
      </c>
      <c r="E6" s="15" t="inlineStr">
        <is>
          <t>2025-01-25</t>
        </is>
      </c>
      <c r="F6" s="8" t="n">
        <v>28500</v>
      </c>
      <c r="G6" s="8" t="n">
        <v>0</v>
      </c>
      <c r="H6" s="8">
        <f>IFERROR(IF(F6="","",F6-G6),0)</f>
        <v/>
      </c>
      <c r="I6" s="15" t="inlineStr"/>
      <c r="J6" s="13" t="inlineStr"/>
      <c r="K6" s="13">
        <f>IFERROR(IF(F6="","",IF(H6=0,"Paid",IF(TODAY()&gt;E6,"Overdue",IF(TODAY()=E6,"Due Today","Pending")))),"")</f>
        <v/>
      </c>
      <c r="L6" s="16">
        <f>IFERROR(IF(AND(F6&lt;&gt;"",H6&gt;0,TODAY()&gt;E6),TODAY()-E6,""),"")</f>
        <v/>
      </c>
      <c r="M6" s="14" t="n"/>
      <c r="O6" s="10" t="inlineStr">
        <is>
          <t>Total Payable</t>
        </is>
      </c>
      <c r="P6" s="11" t="n"/>
      <c r="Q6" s="17">
        <f>SUM(F5:F104)</f>
        <v/>
      </c>
    </row>
    <row r="7">
      <c r="A7" s="5" t="n">
        <v>3</v>
      </c>
      <c r="B7" s="6" t="inlineStr">
        <is>
          <t>INV-003</t>
        </is>
      </c>
      <c r="C7" s="6" t="inlineStr">
        <is>
          <t>Tech Solutions</t>
        </is>
      </c>
      <c r="D7" s="7" t="inlineStr">
        <is>
          <t>2025-01-12</t>
        </is>
      </c>
      <c r="E7" s="7" t="inlineStr">
        <is>
          <t>2025-01-27</t>
        </is>
      </c>
      <c r="F7" s="8" t="n">
        <v>75000</v>
      </c>
      <c r="G7" s="8" t="n">
        <v>37500</v>
      </c>
      <c r="H7" s="8">
        <f>IFERROR(IF(F7="","",F7-G7),0)</f>
        <v/>
      </c>
      <c r="I7" s="7" t="inlineStr">
        <is>
          <t>2025-01-26</t>
        </is>
      </c>
      <c r="J7" s="5" t="inlineStr">
        <is>
          <t>Cheque</t>
        </is>
      </c>
      <c r="K7" s="5">
        <f>IFERROR(IF(F7="","",IF(H7=0,"Paid",IF(TODAY()&gt;E7,"Overdue",IF(TODAY()=E7,"Due Today","Pending")))),"")</f>
        <v/>
      </c>
      <c r="L7" s="9">
        <f>IFERROR(IF(AND(F7&lt;&gt;"",H7&gt;0,TODAY()&gt;E7),TODAY()-E7,""),"")</f>
        <v/>
      </c>
      <c r="M7" s="6" t="n"/>
      <c r="O7" s="10" t="inlineStr">
        <is>
          <t>Total Paid</t>
        </is>
      </c>
      <c r="P7" s="11" t="n"/>
      <c r="Q7" s="17">
        <f>SUM(G5:G104)</f>
        <v/>
      </c>
    </row>
    <row r="8">
      <c r="A8" s="13" t="n">
        <v>4</v>
      </c>
      <c r="B8" s="14" t="inlineStr">
        <is>
          <t>INV-004</t>
        </is>
      </c>
      <c r="C8" s="14" t="inlineStr">
        <is>
          <t>Office Mart</t>
        </is>
      </c>
      <c r="D8" s="15" t="inlineStr">
        <is>
          <t>2025-01-15</t>
        </is>
      </c>
      <c r="E8" s="15" t="inlineStr">
        <is>
          <t>2025-01-30</t>
        </is>
      </c>
      <c r="F8" s="8" t="n">
        <v>12000</v>
      </c>
      <c r="G8" s="8" t="n">
        <v>0</v>
      </c>
      <c r="H8" s="8">
        <f>IFERROR(IF(F8="","",F8-G8),0)</f>
        <v/>
      </c>
      <c r="I8" s="15" t="inlineStr"/>
      <c r="J8" s="13" t="inlineStr"/>
      <c r="K8" s="13">
        <f>IFERROR(IF(F8="","",IF(H8=0,"Paid",IF(TODAY()&gt;E8,"Overdue",IF(TODAY()=E8,"Due Today","Pending")))),"")</f>
        <v/>
      </c>
      <c r="L8" s="16">
        <f>IFERROR(IF(AND(F8&lt;&gt;"",H8&gt;0,TODAY()&gt;E8),TODAY()-E8,""),"")</f>
        <v/>
      </c>
      <c r="M8" s="14" t="n"/>
      <c r="O8" s="10" t="inlineStr">
        <is>
          <t>Total Outstanding</t>
        </is>
      </c>
      <c r="P8" s="11" t="n"/>
      <c r="Q8" s="17">
        <f>SUM(H5:H104)</f>
        <v/>
      </c>
    </row>
    <row r="9">
      <c r="A9" s="5" t="n">
        <v>5</v>
      </c>
      <c r="B9" s="6" t="inlineStr">
        <is>
          <t>INV-005</t>
        </is>
      </c>
      <c r="C9" s="6" t="inlineStr">
        <is>
          <t>Print Plus</t>
        </is>
      </c>
      <c r="D9" s="7" t="inlineStr">
        <is>
          <t>2025-01-18</t>
        </is>
      </c>
      <c r="E9" s="7" t="inlineStr">
        <is>
          <t>2025-02-02</t>
        </is>
      </c>
      <c r="F9" s="8" t="n">
        <v>8500</v>
      </c>
      <c r="G9" s="8" t="n">
        <v>8500</v>
      </c>
      <c r="H9" s="8">
        <f>IFERROR(IF(F9="","",F9-G9),0)</f>
        <v/>
      </c>
      <c r="I9" s="7" t="inlineStr">
        <is>
          <t>2025-02-01</t>
        </is>
      </c>
      <c r="J9" s="5" t="inlineStr">
        <is>
          <t>UPI</t>
        </is>
      </c>
      <c r="K9" s="5">
        <f>IFERROR(IF(F9="","",IF(H9=0,"Paid",IF(TODAY()&gt;E9,"Overdue",IF(TODAY()=E9,"Due Today","Pending")))),"")</f>
        <v/>
      </c>
      <c r="L9" s="9">
        <f>IFERROR(IF(AND(F9&lt;&gt;"",H9&gt;0,TODAY()&gt;E9),TODAY()-E9,""),"")</f>
        <v/>
      </c>
      <c r="M9" s="6" t="n"/>
      <c r="O9" s="10" t="inlineStr">
        <is>
          <t>Overdue Count</t>
        </is>
      </c>
      <c r="P9" s="11" t="n"/>
      <c r="Q9" s="12">
        <f>COUNTIF(K5:K104,"Overdue")</f>
        <v/>
      </c>
    </row>
    <row r="10">
      <c r="A10" s="13" t="n">
        <v>6</v>
      </c>
      <c r="B10" s="14" t="n"/>
      <c r="C10" s="14" t="n"/>
      <c r="D10" s="15" t="n"/>
      <c r="E10" s="15" t="n"/>
      <c r="F10" s="8" t="n"/>
      <c r="G10" s="8" t="n"/>
      <c r="H10" s="8">
        <f>IFERROR(IF(F10="","",F10-G10),0)</f>
        <v/>
      </c>
      <c r="I10" s="15" t="n"/>
      <c r="J10" s="13" t="n"/>
      <c r="K10" s="13">
        <f>IFERROR(IF(F10="","",IF(H10=0,"Paid",IF(TODAY()&gt;E10,"Overdue",IF(TODAY()=E10,"Due Today","Pending")))),"")</f>
        <v/>
      </c>
      <c r="L10" s="16">
        <f>IFERROR(IF(AND(F10&lt;&gt;"",H10&gt;0,TODAY()&gt;E10),TODAY()-E10,""),"")</f>
        <v/>
      </c>
      <c r="M10" s="14" t="n"/>
      <c r="O10" s="10" t="inlineStr">
        <is>
          <t>Pending Count</t>
        </is>
      </c>
      <c r="P10" s="11" t="n"/>
      <c r="Q10" s="12">
        <f>COUNTIF(K5:K104,"Pending")</f>
        <v/>
      </c>
    </row>
    <row r="11">
      <c r="A11" s="5" t="n">
        <v>7</v>
      </c>
      <c r="B11" s="6" t="n"/>
      <c r="C11" s="6" t="n"/>
      <c r="D11" s="7" t="n"/>
      <c r="E11" s="7" t="n"/>
      <c r="F11" s="8" t="n"/>
      <c r="G11" s="8" t="n"/>
      <c r="H11" s="8">
        <f>IFERROR(IF(F11="","",F11-G11),0)</f>
        <v/>
      </c>
      <c r="I11" s="7" t="n"/>
      <c r="J11" s="5" t="n"/>
      <c r="K11" s="5">
        <f>IFERROR(IF(F11="","",IF(H11=0,"Paid",IF(TODAY()&gt;E11,"Overdue",IF(TODAY()=E11,"Due Today","Pending")))),"")</f>
        <v/>
      </c>
      <c r="L11" s="9">
        <f>IFERROR(IF(AND(F11&lt;&gt;"",H11&gt;0,TODAY()&gt;E11),TODAY()-E11,""),"")</f>
        <v/>
      </c>
      <c r="M11" s="6" t="n"/>
    </row>
    <row r="12">
      <c r="A12" s="13" t="n">
        <v>8</v>
      </c>
      <c r="B12" s="14" t="n"/>
      <c r="C12" s="14" t="n"/>
      <c r="D12" s="15" t="n"/>
      <c r="E12" s="15" t="n"/>
      <c r="F12" s="8" t="n"/>
      <c r="G12" s="8" t="n"/>
      <c r="H12" s="8">
        <f>IFERROR(IF(F12="","",F12-G12),0)</f>
        <v/>
      </c>
      <c r="I12" s="15" t="n"/>
      <c r="J12" s="13" t="n"/>
      <c r="K12" s="13">
        <f>IFERROR(IF(F12="","",IF(H12=0,"Paid",IF(TODAY()&gt;E12,"Overdue",IF(TODAY()=E12,"Due Today","Pending")))),"")</f>
        <v/>
      </c>
      <c r="L12" s="16">
        <f>IFERROR(IF(AND(F12&lt;&gt;"",H12&gt;0,TODAY()&gt;E12),TODAY()-E12,""),"")</f>
        <v/>
      </c>
      <c r="M12" s="14" t="n"/>
    </row>
    <row r="13">
      <c r="A13" s="5" t="n">
        <v>9</v>
      </c>
      <c r="B13" s="6" t="n"/>
      <c r="C13" s="6" t="n"/>
      <c r="D13" s="7" t="n"/>
      <c r="E13" s="7" t="n"/>
      <c r="F13" s="8" t="n"/>
      <c r="G13" s="8" t="n"/>
      <c r="H13" s="8">
        <f>IFERROR(IF(F13="","",F13-G13),0)</f>
        <v/>
      </c>
      <c r="I13" s="7" t="n"/>
      <c r="J13" s="5" t="n"/>
      <c r="K13" s="5">
        <f>IFERROR(IF(F13="","",IF(H13=0,"Paid",IF(TODAY()&gt;E13,"Overdue",IF(TODAY()=E13,"Due Today","Pending")))),"")</f>
        <v/>
      </c>
      <c r="L13" s="9">
        <f>IFERROR(IF(AND(F13&lt;&gt;"",H13&gt;0,TODAY()&gt;E13),TODAY()-E13,""),"")</f>
        <v/>
      </c>
      <c r="M13" s="6" t="n"/>
    </row>
    <row r="14">
      <c r="A14" s="13" t="n">
        <v>10</v>
      </c>
      <c r="B14" s="14" t="n"/>
      <c r="C14" s="14" t="n"/>
      <c r="D14" s="15" t="n"/>
      <c r="E14" s="15" t="n"/>
      <c r="F14" s="8" t="n"/>
      <c r="G14" s="8" t="n"/>
      <c r="H14" s="8">
        <f>IFERROR(IF(F14="","",F14-G14),0)</f>
        <v/>
      </c>
      <c r="I14" s="15" t="n"/>
      <c r="J14" s="13" t="n"/>
      <c r="K14" s="13">
        <f>IFERROR(IF(F14="","",IF(H14=0,"Paid",IF(TODAY()&gt;E14,"Overdue",IF(TODAY()=E14,"Due Today","Pending")))),"")</f>
        <v/>
      </c>
      <c r="L14" s="16">
        <f>IFERROR(IF(AND(F14&lt;&gt;"",H14&gt;0,TODAY()&gt;E14),TODAY()-E14,""),"")</f>
        <v/>
      </c>
      <c r="M14" s="14" t="n"/>
    </row>
    <row r="15">
      <c r="A15" s="5" t="n">
        <v>11</v>
      </c>
      <c r="B15" s="6" t="n"/>
      <c r="C15" s="6" t="n"/>
      <c r="D15" s="7" t="n"/>
      <c r="E15" s="7" t="n"/>
      <c r="F15" s="8" t="n"/>
      <c r="G15" s="8" t="n"/>
      <c r="H15" s="8">
        <f>IFERROR(IF(F15="","",F15-G15),0)</f>
        <v/>
      </c>
      <c r="I15" s="7" t="n"/>
      <c r="J15" s="5" t="n"/>
      <c r="K15" s="5">
        <f>IFERROR(IF(F15="","",IF(H15=0,"Paid",IF(TODAY()&gt;E15,"Overdue",IF(TODAY()=E15,"Due Today","Pending")))),"")</f>
        <v/>
      </c>
      <c r="L15" s="9">
        <f>IFERROR(IF(AND(F15&lt;&gt;"",H15&gt;0,TODAY()&gt;E15),TODAY()-E15,""),"")</f>
        <v/>
      </c>
      <c r="M15" s="6" t="n"/>
    </row>
    <row r="16">
      <c r="A16" s="13" t="n">
        <v>12</v>
      </c>
      <c r="B16" s="14" t="n"/>
      <c r="C16" s="14" t="n"/>
      <c r="D16" s="15" t="n"/>
      <c r="E16" s="15" t="n"/>
      <c r="F16" s="8" t="n"/>
      <c r="G16" s="8" t="n"/>
      <c r="H16" s="8">
        <f>IFERROR(IF(F16="","",F16-G16),0)</f>
        <v/>
      </c>
      <c r="I16" s="15" t="n"/>
      <c r="J16" s="13" t="n"/>
      <c r="K16" s="13">
        <f>IFERROR(IF(F16="","",IF(H16=0,"Paid",IF(TODAY()&gt;E16,"Overdue",IF(TODAY()=E16,"Due Today","Pending")))),"")</f>
        <v/>
      </c>
      <c r="L16" s="16">
        <f>IFERROR(IF(AND(F16&lt;&gt;"",H16&gt;0,TODAY()&gt;E16),TODAY()-E16,""),"")</f>
        <v/>
      </c>
      <c r="M16" s="14" t="n"/>
    </row>
    <row r="17">
      <c r="A17" s="5" t="n">
        <v>13</v>
      </c>
      <c r="B17" s="6" t="n"/>
      <c r="C17" s="6" t="n"/>
      <c r="D17" s="7" t="n"/>
      <c r="E17" s="7" t="n"/>
      <c r="F17" s="8" t="n"/>
      <c r="G17" s="8" t="n"/>
      <c r="H17" s="8">
        <f>IFERROR(IF(F17="","",F17-G17),0)</f>
        <v/>
      </c>
      <c r="I17" s="7" t="n"/>
      <c r="J17" s="5" t="n"/>
      <c r="K17" s="5">
        <f>IFERROR(IF(F17="","",IF(H17=0,"Paid",IF(TODAY()&gt;E17,"Overdue",IF(TODAY()=E17,"Due Today","Pending")))),"")</f>
        <v/>
      </c>
      <c r="L17" s="9">
        <f>IFERROR(IF(AND(F17&lt;&gt;"",H17&gt;0,TODAY()&gt;E17),TODAY()-E17,""),"")</f>
        <v/>
      </c>
      <c r="M17" s="6" t="n"/>
    </row>
    <row r="18">
      <c r="A18" s="13" t="n">
        <v>14</v>
      </c>
      <c r="B18" s="14" t="n"/>
      <c r="C18" s="14" t="n"/>
      <c r="D18" s="15" t="n"/>
      <c r="E18" s="15" t="n"/>
      <c r="F18" s="8" t="n"/>
      <c r="G18" s="8" t="n"/>
      <c r="H18" s="8">
        <f>IFERROR(IF(F18="","",F18-G18),0)</f>
        <v/>
      </c>
      <c r="I18" s="15" t="n"/>
      <c r="J18" s="13" t="n"/>
      <c r="K18" s="13">
        <f>IFERROR(IF(F18="","",IF(H18=0,"Paid",IF(TODAY()&gt;E18,"Overdue",IF(TODAY()=E18,"Due Today","Pending")))),"")</f>
        <v/>
      </c>
      <c r="L18" s="16">
        <f>IFERROR(IF(AND(F18&lt;&gt;"",H18&gt;0,TODAY()&gt;E18),TODAY()-E18,""),"")</f>
        <v/>
      </c>
      <c r="M18" s="14" t="n"/>
    </row>
    <row r="19">
      <c r="A19" s="5" t="n">
        <v>15</v>
      </c>
      <c r="B19" s="6" t="n"/>
      <c r="C19" s="6" t="n"/>
      <c r="D19" s="7" t="n"/>
      <c r="E19" s="7" t="n"/>
      <c r="F19" s="8" t="n"/>
      <c r="G19" s="8" t="n"/>
      <c r="H19" s="8">
        <f>IFERROR(IF(F19="","",F19-G19),0)</f>
        <v/>
      </c>
      <c r="I19" s="7" t="n"/>
      <c r="J19" s="5" t="n"/>
      <c r="K19" s="5">
        <f>IFERROR(IF(F19="","",IF(H19=0,"Paid",IF(TODAY()&gt;E19,"Overdue",IF(TODAY()=E19,"Due Today","Pending")))),"")</f>
        <v/>
      </c>
      <c r="L19" s="9">
        <f>IFERROR(IF(AND(F19&lt;&gt;"",H19&gt;0,TODAY()&gt;E19),TODAY()-E19,""),"")</f>
        <v/>
      </c>
      <c r="M19" s="6" t="n"/>
    </row>
    <row r="20">
      <c r="A20" s="13" t="n">
        <v>16</v>
      </c>
      <c r="B20" s="14" t="n"/>
      <c r="C20" s="14" t="n"/>
      <c r="D20" s="15" t="n"/>
      <c r="E20" s="15" t="n"/>
      <c r="F20" s="8" t="n"/>
      <c r="G20" s="8" t="n"/>
      <c r="H20" s="8">
        <f>IFERROR(IF(F20="","",F20-G20),0)</f>
        <v/>
      </c>
      <c r="I20" s="15" t="n"/>
      <c r="J20" s="13" t="n"/>
      <c r="K20" s="13">
        <f>IFERROR(IF(F20="","",IF(H20=0,"Paid",IF(TODAY()&gt;E20,"Overdue",IF(TODAY()=E20,"Due Today","Pending")))),"")</f>
        <v/>
      </c>
      <c r="L20" s="16">
        <f>IFERROR(IF(AND(F20&lt;&gt;"",H20&gt;0,TODAY()&gt;E20),TODAY()-E20,""),"")</f>
        <v/>
      </c>
      <c r="M20" s="14" t="n"/>
    </row>
    <row r="21">
      <c r="A21" s="5" t="n">
        <v>17</v>
      </c>
      <c r="B21" s="6" t="n"/>
      <c r="C21" s="6" t="n"/>
      <c r="D21" s="7" t="n"/>
      <c r="E21" s="7" t="n"/>
      <c r="F21" s="8" t="n"/>
      <c r="G21" s="8" t="n"/>
      <c r="H21" s="8">
        <f>IFERROR(IF(F21="","",F21-G21),0)</f>
        <v/>
      </c>
      <c r="I21" s="7" t="n"/>
      <c r="J21" s="5" t="n"/>
      <c r="K21" s="5">
        <f>IFERROR(IF(F21="","",IF(H21=0,"Paid",IF(TODAY()&gt;E21,"Overdue",IF(TODAY()=E21,"Due Today","Pending")))),"")</f>
        <v/>
      </c>
      <c r="L21" s="9">
        <f>IFERROR(IF(AND(F21&lt;&gt;"",H21&gt;0,TODAY()&gt;E21),TODAY()-E21,""),"")</f>
        <v/>
      </c>
      <c r="M21" s="6" t="n"/>
    </row>
    <row r="22">
      <c r="A22" s="13" t="n">
        <v>18</v>
      </c>
      <c r="B22" s="14" t="n"/>
      <c r="C22" s="14" t="n"/>
      <c r="D22" s="15" t="n"/>
      <c r="E22" s="15" t="n"/>
      <c r="F22" s="8" t="n"/>
      <c r="G22" s="8" t="n"/>
      <c r="H22" s="8">
        <f>IFERROR(IF(F22="","",F22-G22),0)</f>
        <v/>
      </c>
      <c r="I22" s="15" t="n"/>
      <c r="J22" s="13" t="n"/>
      <c r="K22" s="13">
        <f>IFERROR(IF(F22="","",IF(H22=0,"Paid",IF(TODAY()&gt;E22,"Overdue",IF(TODAY()=E22,"Due Today","Pending")))),"")</f>
        <v/>
      </c>
      <c r="L22" s="16">
        <f>IFERROR(IF(AND(F22&lt;&gt;"",H22&gt;0,TODAY()&gt;E22),TODAY()-E22,""),"")</f>
        <v/>
      </c>
      <c r="M22" s="14" t="n"/>
    </row>
    <row r="23">
      <c r="A23" s="5" t="n">
        <v>19</v>
      </c>
      <c r="B23" s="6" t="n"/>
      <c r="C23" s="6" t="n"/>
      <c r="D23" s="7" t="n"/>
      <c r="E23" s="7" t="n"/>
      <c r="F23" s="8" t="n"/>
      <c r="G23" s="8" t="n"/>
      <c r="H23" s="8">
        <f>IFERROR(IF(F23="","",F23-G23),0)</f>
        <v/>
      </c>
      <c r="I23" s="7" t="n"/>
      <c r="J23" s="5" t="n"/>
      <c r="K23" s="5">
        <f>IFERROR(IF(F23="","",IF(H23=0,"Paid",IF(TODAY()&gt;E23,"Overdue",IF(TODAY()=E23,"Due Today","Pending")))),"")</f>
        <v/>
      </c>
      <c r="L23" s="9">
        <f>IFERROR(IF(AND(F23&lt;&gt;"",H23&gt;0,TODAY()&gt;E23),TODAY()-E23,""),"")</f>
        <v/>
      </c>
      <c r="M23" s="6" t="n"/>
    </row>
    <row r="24">
      <c r="A24" s="13" t="n">
        <v>20</v>
      </c>
      <c r="B24" s="14" t="n"/>
      <c r="C24" s="14" t="n"/>
      <c r="D24" s="15" t="n"/>
      <c r="E24" s="15" t="n"/>
      <c r="F24" s="8" t="n"/>
      <c r="G24" s="8" t="n"/>
      <c r="H24" s="8">
        <f>IFERROR(IF(F24="","",F24-G24),0)</f>
        <v/>
      </c>
      <c r="I24" s="15" t="n"/>
      <c r="J24" s="13" t="n"/>
      <c r="K24" s="13">
        <f>IFERROR(IF(F24="","",IF(H24=0,"Paid",IF(TODAY()&gt;E24,"Overdue",IF(TODAY()=E24,"Due Today","Pending")))),"")</f>
        <v/>
      </c>
      <c r="L24" s="16">
        <f>IFERROR(IF(AND(F24&lt;&gt;"",H24&gt;0,TODAY()&gt;E24),TODAY()-E24,""),"")</f>
        <v/>
      </c>
      <c r="M24" s="14" t="n"/>
    </row>
    <row r="25">
      <c r="A25" s="5" t="n">
        <v>21</v>
      </c>
      <c r="B25" s="6" t="n"/>
      <c r="C25" s="6" t="n"/>
      <c r="D25" s="7" t="n"/>
      <c r="E25" s="7" t="n"/>
      <c r="F25" s="8" t="n"/>
      <c r="G25" s="8" t="n"/>
      <c r="H25" s="8">
        <f>IFERROR(IF(F25="","",F25-G25),0)</f>
        <v/>
      </c>
      <c r="I25" s="7" t="n"/>
      <c r="J25" s="5" t="n"/>
      <c r="K25" s="5">
        <f>IFERROR(IF(F25="","",IF(H25=0,"Paid",IF(TODAY()&gt;E25,"Overdue",IF(TODAY()=E25,"Due Today","Pending")))),"")</f>
        <v/>
      </c>
      <c r="L25" s="9">
        <f>IFERROR(IF(AND(F25&lt;&gt;"",H25&gt;0,TODAY()&gt;E25),TODAY()-E25,""),"")</f>
        <v/>
      </c>
      <c r="M25" s="6" t="n"/>
    </row>
    <row r="26">
      <c r="A26" s="13" t="n">
        <v>22</v>
      </c>
      <c r="B26" s="14" t="n"/>
      <c r="C26" s="14" t="n"/>
      <c r="D26" s="15" t="n"/>
      <c r="E26" s="15" t="n"/>
      <c r="F26" s="8" t="n"/>
      <c r="G26" s="8" t="n"/>
      <c r="H26" s="8">
        <f>IFERROR(IF(F26="","",F26-G26),0)</f>
        <v/>
      </c>
      <c r="I26" s="15" t="n"/>
      <c r="J26" s="13" t="n"/>
      <c r="K26" s="13">
        <f>IFERROR(IF(F26="","",IF(H26=0,"Paid",IF(TODAY()&gt;E26,"Overdue",IF(TODAY()=E26,"Due Today","Pending")))),"")</f>
        <v/>
      </c>
      <c r="L26" s="16">
        <f>IFERROR(IF(AND(F26&lt;&gt;"",H26&gt;0,TODAY()&gt;E26),TODAY()-E26,""),"")</f>
        <v/>
      </c>
      <c r="M26" s="14" t="n"/>
    </row>
    <row r="27">
      <c r="A27" s="5" t="n">
        <v>23</v>
      </c>
      <c r="B27" s="6" t="n"/>
      <c r="C27" s="6" t="n"/>
      <c r="D27" s="7" t="n"/>
      <c r="E27" s="7" t="n"/>
      <c r="F27" s="8" t="n"/>
      <c r="G27" s="8" t="n"/>
      <c r="H27" s="8">
        <f>IFERROR(IF(F27="","",F27-G27),0)</f>
        <v/>
      </c>
      <c r="I27" s="7" t="n"/>
      <c r="J27" s="5" t="n"/>
      <c r="K27" s="5">
        <f>IFERROR(IF(F27="","",IF(H27=0,"Paid",IF(TODAY()&gt;E27,"Overdue",IF(TODAY()=E27,"Due Today","Pending")))),"")</f>
        <v/>
      </c>
      <c r="L27" s="9">
        <f>IFERROR(IF(AND(F27&lt;&gt;"",H27&gt;0,TODAY()&gt;E27),TODAY()-E27,""),"")</f>
        <v/>
      </c>
      <c r="M27" s="6" t="n"/>
    </row>
    <row r="28">
      <c r="A28" s="13" t="n">
        <v>24</v>
      </c>
      <c r="B28" s="14" t="n"/>
      <c r="C28" s="14" t="n"/>
      <c r="D28" s="15" t="n"/>
      <c r="E28" s="15" t="n"/>
      <c r="F28" s="8" t="n"/>
      <c r="G28" s="8" t="n"/>
      <c r="H28" s="8">
        <f>IFERROR(IF(F28="","",F28-G28),0)</f>
        <v/>
      </c>
      <c r="I28" s="15" t="n"/>
      <c r="J28" s="13" t="n"/>
      <c r="K28" s="13">
        <f>IFERROR(IF(F28="","",IF(H28=0,"Paid",IF(TODAY()&gt;E28,"Overdue",IF(TODAY()=E28,"Due Today","Pending")))),"")</f>
        <v/>
      </c>
      <c r="L28" s="16">
        <f>IFERROR(IF(AND(F28&lt;&gt;"",H28&gt;0,TODAY()&gt;E28),TODAY()-E28,""),"")</f>
        <v/>
      </c>
      <c r="M28" s="14" t="n"/>
    </row>
    <row r="29">
      <c r="A29" s="5" t="n">
        <v>25</v>
      </c>
      <c r="B29" s="6" t="n"/>
      <c r="C29" s="6" t="n"/>
      <c r="D29" s="7" t="n"/>
      <c r="E29" s="7" t="n"/>
      <c r="F29" s="8" t="n"/>
      <c r="G29" s="8" t="n"/>
      <c r="H29" s="8">
        <f>IFERROR(IF(F29="","",F29-G29),0)</f>
        <v/>
      </c>
      <c r="I29" s="7" t="n"/>
      <c r="J29" s="5" t="n"/>
      <c r="K29" s="5">
        <f>IFERROR(IF(F29="","",IF(H29=0,"Paid",IF(TODAY()&gt;E29,"Overdue",IF(TODAY()=E29,"Due Today","Pending")))),"")</f>
        <v/>
      </c>
      <c r="L29" s="9">
        <f>IFERROR(IF(AND(F29&lt;&gt;"",H29&gt;0,TODAY()&gt;E29),TODAY()-E29,""),"")</f>
        <v/>
      </c>
      <c r="M29" s="6" t="n"/>
    </row>
    <row r="30">
      <c r="A30" s="13" t="n">
        <v>26</v>
      </c>
      <c r="B30" s="14" t="n"/>
      <c r="C30" s="14" t="n"/>
      <c r="D30" s="15" t="n"/>
      <c r="E30" s="15" t="n"/>
      <c r="F30" s="8" t="n"/>
      <c r="G30" s="8" t="n"/>
      <c r="H30" s="8">
        <f>IFERROR(IF(F30="","",F30-G30),0)</f>
        <v/>
      </c>
      <c r="I30" s="15" t="n"/>
      <c r="J30" s="13" t="n"/>
      <c r="K30" s="13">
        <f>IFERROR(IF(F30="","",IF(H30=0,"Paid",IF(TODAY()&gt;E30,"Overdue",IF(TODAY()=E30,"Due Today","Pending")))),"")</f>
        <v/>
      </c>
      <c r="L30" s="16">
        <f>IFERROR(IF(AND(F30&lt;&gt;"",H30&gt;0,TODAY()&gt;E30),TODAY()-E30,""),"")</f>
        <v/>
      </c>
      <c r="M30" s="14" t="n"/>
    </row>
    <row r="31">
      <c r="A31" s="5" t="n">
        <v>27</v>
      </c>
      <c r="B31" s="6" t="n"/>
      <c r="C31" s="6" t="n"/>
      <c r="D31" s="7" t="n"/>
      <c r="E31" s="7" t="n"/>
      <c r="F31" s="8" t="n"/>
      <c r="G31" s="8" t="n"/>
      <c r="H31" s="8">
        <f>IFERROR(IF(F31="","",F31-G31),0)</f>
        <v/>
      </c>
      <c r="I31" s="7" t="n"/>
      <c r="J31" s="5" t="n"/>
      <c r="K31" s="5">
        <f>IFERROR(IF(F31="","",IF(H31=0,"Paid",IF(TODAY()&gt;E31,"Overdue",IF(TODAY()=E31,"Due Today","Pending")))),"")</f>
        <v/>
      </c>
      <c r="L31" s="9">
        <f>IFERROR(IF(AND(F31&lt;&gt;"",H31&gt;0,TODAY()&gt;E31),TODAY()-E31,""),"")</f>
        <v/>
      </c>
      <c r="M31" s="6" t="n"/>
    </row>
    <row r="32">
      <c r="A32" s="13" t="n">
        <v>28</v>
      </c>
      <c r="B32" s="14" t="n"/>
      <c r="C32" s="14" t="n"/>
      <c r="D32" s="15" t="n"/>
      <c r="E32" s="15" t="n"/>
      <c r="F32" s="8" t="n"/>
      <c r="G32" s="8" t="n"/>
      <c r="H32" s="8">
        <f>IFERROR(IF(F32="","",F32-G32),0)</f>
        <v/>
      </c>
      <c r="I32" s="15" t="n"/>
      <c r="J32" s="13" t="n"/>
      <c r="K32" s="13">
        <f>IFERROR(IF(F32="","",IF(H32=0,"Paid",IF(TODAY()&gt;E32,"Overdue",IF(TODAY()=E32,"Due Today","Pending")))),"")</f>
        <v/>
      </c>
      <c r="L32" s="16">
        <f>IFERROR(IF(AND(F32&lt;&gt;"",H32&gt;0,TODAY()&gt;E32),TODAY()-E32,""),"")</f>
        <v/>
      </c>
      <c r="M32" s="14" t="n"/>
    </row>
    <row r="33">
      <c r="A33" s="5" t="n">
        <v>29</v>
      </c>
      <c r="B33" s="6" t="n"/>
      <c r="C33" s="6" t="n"/>
      <c r="D33" s="7" t="n"/>
      <c r="E33" s="7" t="n"/>
      <c r="F33" s="8" t="n"/>
      <c r="G33" s="8" t="n"/>
      <c r="H33" s="8">
        <f>IFERROR(IF(F33="","",F33-G33),0)</f>
        <v/>
      </c>
      <c r="I33" s="7" t="n"/>
      <c r="J33" s="5" t="n"/>
      <c r="K33" s="5">
        <f>IFERROR(IF(F33="","",IF(H33=0,"Paid",IF(TODAY()&gt;E33,"Overdue",IF(TODAY()=E33,"Due Today","Pending")))),"")</f>
        <v/>
      </c>
      <c r="L33" s="9">
        <f>IFERROR(IF(AND(F33&lt;&gt;"",H33&gt;0,TODAY()&gt;E33),TODAY()-E33,""),"")</f>
        <v/>
      </c>
      <c r="M33" s="6" t="n"/>
    </row>
    <row r="34">
      <c r="A34" s="13" t="n">
        <v>30</v>
      </c>
      <c r="B34" s="14" t="n"/>
      <c r="C34" s="14" t="n"/>
      <c r="D34" s="15" t="n"/>
      <c r="E34" s="15" t="n"/>
      <c r="F34" s="8" t="n"/>
      <c r="G34" s="8" t="n"/>
      <c r="H34" s="8">
        <f>IFERROR(IF(F34="","",F34-G34),0)</f>
        <v/>
      </c>
      <c r="I34" s="15" t="n"/>
      <c r="J34" s="13" t="n"/>
      <c r="K34" s="13">
        <f>IFERROR(IF(F34="","",IF(H34=0,"Paid",IF(TODAY()&gt;E34,"Overdue",IF(TODAY()=E34,"Due Today","Pending")))),"")</f>
        <v/>
      </c>
      <c r="L34" s="16">
        <f>IFERROR(IF(AND(F34&lt;&gt;"",H34&gt;0,TODAY()&gt;E34),TODAY()-E34,""),"")</f>
        <v/>
      </c>
      <c r="M34" s="14" t="n"/>
    </row>
    <row r="35">
      <c r="A35" s="5" t="n">
        <v>31</v>
      </c>
      <c r="B35" s="6" t="n"/>
      <c r="C35" s="6" t="n"/>
      <c r="D35" s="7" t="n"/>
      <c r="E35" s="7" t="n"/>
      <c r="F35" s="8" t="n"/>
      <c r="G35" s="8" t="n"/>
      <c r="H35" s="8">
        <f>IFERROR(IF(F35="","",F35-G35),0)</f>
        <v/>
      </c>
      <c r="I35" s="7" t="n"/>
      <c r="J35" s="5" t="n"/>
      <c r="K35" s="5">
        <f>IFERROR(IF(F35="","",IF(H35=0,"Paid",IF(TODAY()&gt;E35,"Overdue",IF(TODAY()=E35,"Due Today","Pending")))),"")</f>
        <v/>
      </c>
      <c r="L35" s="9">
        <f>IFERROR(IF(AND(F35&lt;&gt;"",H35&gt;0,TODAY()&gt;E35),TODAY()-E35,""),"")</f>
        <v/>
      </c>
      <c r="M35" s="6" t="n"/>
    </row>
    <row r="36">
      <c r="A36" s="13" t="n">
        <v>32</v>
      </c>
      <c r="B36" s="14" t="n"/>
      <c r="C36" s="14" t="n"/>
      <c r="D36" s="15" t="n"/>
      <c r="E36" s="15" t="n"/>
      <c r="F36" s="8" t="n"/>
      <c r="G36" s="8" t="n"/>
      <c r="H36" s="8">
        <f>IFERROR(IF(F36="","",F36-G36),0)</f>
        <v/>
      </c>
      <c r="I36" s="15" t="n"/>
      <c r="J36" s="13" t="n"/>
      <c r="K36" s="13">
        <f>IFERROR(IF(F36="","",IF(H36=0,"Paid",IF(TODAY()&gt;E36,"Overdue",IF(TODAY()=E36,"Due Today","Pending")))),"")</f>
        <v/>
      </c>
      <c r="L36" s="16">
        <f>IFERROR(IF(AND(F36&lt;&gt;"",H36&gt;0,TODAY()&gt;E36),TODAY()-E36,""),"")</f>
        <v/>
      </c>
      <c r="M36" s="14" t="n"/>
    </row>
    <row r="37">
      <c r="A37" s="5" t="n">
        <v>33</v>
      </c>
      <c r="B37" s="6" t="n"/>
      <c r="C37" s="6" t="n"/>
      <c r="D37" s="7" t="n"/>
      <c r="E37" s="7" t="n"/>
      <c r="F37" s="8" t="n"/>
      <c r="G37" s="8" t="n"/>
      <c r="H37" s="8">
        <f>IFERROR(IF(F37="","",F37-G37),0)</f>
        <v/>
      </c>
      <c r="I37" s="7" t="n"/>
      <c r="J37" s="5" t="n"/>
      <c r="K37" s="5">
        <f>IFERROR(IF(F37="","",IF(H37=0,"Paid",IF(TODAY()&gt;E37,"Overdue",IF(TODAY()=E37,"Due Today","Pending")))),"")</f>
        <v/>
      </c>
      <c r="L37" s="9">
        <f>IFERROR(IF(AND(F37&lt;&gt;"",H37&gt;0,TODAY()&gt;E37),TODAY()-E37,""),"")</f>
        <v/>
      </c>
      <c r="M37" s="6" t="n"/>
    </row>
    <row r="38">
      <c r="A38" s="13" t="n">
        <v>34</v>
      </c>
      <c r="B38" s="14" t="n"/>
      <c r="C38" s="14" t="n"/>
      <c r="D38" s="15" t="n"/>
      <c r="E38" s="15" t="n"/>
      <c r="F38" s="8" t="n"/>
      <c r="G38" s="8" t="n"/>
      <c r="H38" s="8">
        <f>IFERROR(IF(F38="","",F38-G38),0)</f>
        <v/>
      </c>
      <c r="I38" s="15" t="n"/>
      <c r="J38" s="13" t="n"/>
      <c r="K38" s="13">
        <f>IFERROR(IF(F38="","",IF(H38=0,"Paid",IF(TODAY()&gt;E38,"Overdue",IF(TODAY()=E38,"Due Today","Pending")))),"")</f>
        <v/>
      </c>
      <c r="L38" s="16">
        <f>IFERROR(IF(AND(F38&lt;&gt;"",H38&gt;0,TODAY()&gt;E38),TODAY()-E38,""),"")</f>
        <v/>
      </c>
      <c r="M38" s="14" t="n"/>
    </row>
    <row r="39">
      <c r="A39" s="5" t="n">
        <v>35</v>
      </c>
      <c r="B39" s="6" t="n"/>
      <c r="C39" s="6" t="n"/>
      <c r="D39" s="7" t="n"/>
      <c r="E39" s="7" t="n"/>
      <c r="F39" s="8" t="n"/>
      <c r="G39" s="8" t="n"/>
      <c r="H39" s="8">
        <f>IFERROR(IF(F39="","",F39-G39),0)</f>
        <v/>
      </c>
      <c r="I39" s="7" t="n"/>
      <c r="J39" s="5" t="n"/>
      <c r="K39" s="5">
        <f>IFERROR(IF(F39="","",IF(H39=0,"Paid",IF(TODAY()&gt;E39,"Overdue",IF(TODAY()=E39,"Due Today","Pending")))),"")</f>
        <v/>
      </c>
      <c r="L39" s="9">
        <f>IFERROR(IF(AND(F39&lt;&gt;"",H39&gt;0,TODAY()&gt;E39),TODAY()-E39,""),"")</f>
        <v/>
      </c>
      <c r="M39" s="6" t="n"/>
    </row>
    <row r="40">
      <c r="A40" s="13" t="n">
        <v>36</v>
      </c>
      <c r="B40" s="14" t="n"/>
      <c r="C40" s="14" t="n"/>
      <c r="D40" s="15" t="n"/>
      <c r="E40" s="15" t="n"/>
      <c r="F40" s="8" t="n"/>
      <c r="G40" s="8" t="n"/>
      <c r="H40" s="8">
        <f>IFERROR(IF(F40="","",F40-G40),0)</f>
        <v/>
      </c>
      <c r="I40" s="15" t="n"/>
      <c r="J40" s="13" t="n"/>
      <c r="K40" s="13">
        <f>IFERROR(IF(F40="","",IF(H40=0,"Paid",IF(TODAY()&gt;E40,"Overdue",IF(TODAY()=E40,"Due Today","Pending")))),"")</f>
        <v/>
      </c>
      <c r="L40" s="16">
        <f>IFERROR(IF(AND(F40&lt;&gt;"",H40&gt;0,TODAY()&gt;E40),TODAY()-E40,""),"")</f>
        <v/>
      </c>
      <c r="M40" s="14" t="n"/>
    </row>
    <row r="41">
      <c r="A41" s="5" t="n">
        <v>37</v>
      </c>
      <c r="B41" s="6" t="n"/>
      <c r="C41" s="6" t="n"/>
      <c r="D41" s="7" t="n"/>
      <c r="E41" s="7" t="n"/>
      <c r="F41" s="8" t="n"/>
      <c r="G41" s="8" t="n"/>
      <c r="H41" s="8">
        <f>IFERROR(IF(F41="","",F41-G41),0)</f>
        <v/>
      </c>
      <c r="I41" s="7" t="n"/>
      <c r="J41" s="5" t="n"/>
      <c r="K41" s="5">
        <f>IFERROR(IF(F41="","",IF(H41=0,"Paid",IF(TODAY()&gt;E41,"Overdue",IF(TODAY()=E41,"Due Today","Pending")))),"")</f>
        <v/>
      </c>
      <c r="L41" s="9">
        <f>IFERROR(IF(AND(F41&lt;&gt;"",H41&gt;0,TODAY()&gt;E41),TODAY()-E41,""),"")</f>
        <v/>
      </c>
      <c r="M41" s="6" t="n"/>
    </row>
    <row r="42">
      <c r="A42" s="13" t="n">
        <v>38</v>
      </c>
      <c r="B42" s="14" t="n"/>
      <c r="C42" s="14" t="n"/>
      <c r="D42" s="15" t="n"/>
      <c r="E42" s="15" t="n"/>
      <c r="F42" s="8" t="n"/>
      <c r="G42" s="8" t="n"/>
      <c r="H42" s="8">
        <f>IFERROR(IF(F42="","",F42-G42),0)</f>
        <v/>
      </c>
      <c r="I42" s="15" t="n"/>
      <c r="J42" s="13" t="n"/>
      <c r="K42" s="13">
        <f>IFERROR(IF(F42="","",IF(H42=0,"Paid",IF(TODAY()&gt;E42,"Overdue",IF(TODAY()=E42,"Due Today","Pending")))),"")</f>
        <v/>
      </c>
      <c r="L42" s="16">
        <f>IFERROR(IF(AND(F42&lt;&gt;"",H42&gt;0,TODAY()&gt;E42),TODAY()-E42,""),"")</f>
        <v/>
      </c>
      <c r="M42" s="14" t="n"/>
    </row>
    <row r="43">
      <c r="A43" s="5" t="n">
        <v>39</v>
      </c>
      <c r="B43" s="6" t="n"/>
      <c r="C43" s="6" t="n"/>
      <c r="D43" s="7" t="n"/>
      <c r="E43" s="7" t="n"/>
      <c r="F43" s="8" t="n"/>
      <c r="G43" s="8" t="n"/>
      <c r="H43" s="8">
        <f>IFERROR(IF(F43="","",F43-G43),0)</f>
        <v/>
      </c>
      <c r="I43" s="7" t="n"/>
      <c r="J43" s="5" t="n"/>
      <c r="K43" s="5">
        <f>IFERROR(IF(F43="","",IF(H43=0,"Paid",IF(TODAY()&gt;E43,"Overdue",IF(TODAY()=E43,"Due Today","Pending")))),"")</f>
        <v/>
      </c>
      <c r="L43" s="9">
        <f>IFERROR(IF(AND(F43&lt;&gt;"",H43&gt;0,TODAY()&gt;E43),TODAY()-E43,""),"")</f>
        <v/>
      </c>
      <c r="M43" s="6" t="n"/>
    </row>
    <row r="44">
      <c r="A44" s="13" t="n">
        <v>40</v>
      </c>
      <c r="B44" s="14" t="n"/>
      <c r="C44" s="14" t="n"/>
      <c r="D44" s="15" t="n"/>
      <c r="E44" s="15" t="n"/>
      <c r="F44" s="8" t="n"/>
      <c r="G44" s="8" t="n"/>
      <c r="H44" s="8">
        <f>IFERROR(IF(F44="","",F44-G44),0)</f>
        <v/>
      </c>
      <c r="I44" s="15" t="n"/>
      <c r="J44" s="13" t="n"/>
      <c r="K44" s="13">
        <f>IFERROR(IF(F44="","",IF(H44=0,"Paid",IF(TODAY()&gt;E44,"Overdue",IF(TODAY()=E44,"Due Today","Pending")))),"")</f>
        <v/>
      </c>
      <c r="L44" s="16">
        <f>IFERROR(IF(AND(F44&lt;&gt;"",H44&gt;0,TODAY()&gt;E44),TODAY()-E44,""),"")</f>
        <v/>
      </c>
      <c r="M44" s="14" t="n"/>
    </row>
    <row r="45">
      <c r="A45" s="5" t="n">
        <v>41</v>
      </c>
      <c r="B45" s="6" t="n"/>
      <c r="C45" s="6" t="n"/>
      <c r="D45" s="7" t="n"/>
      <c r="E45" s="7" t="n"/>
      <c r="F45" s="8" t="n"/>
      <c r="G45" s="8" t="n"/>
      <c r="H45" s="8">
        <f>IFERROR(IF(F45="","",F45-G45),0)</f>
        <v/>
      </c>
      <c r="I45" s="7" t="n"/>
      <c r="J45" s="5" t="n"/>
      <c r="K45" s="5">
        <f>IFERROR(IF(F45="","",IF(H45=0,"Paid",IF(TODAY()&gt;E45,"Overdue",IF(TODAY()=E45,"Due Today","Pending")))),"")</f>
        <v/>
      </c>
      <c r="L45" s="9">
        <f>IFERROR(IF(AND(F45&lt;&gt;"",H45&gt;0,TODAY()&gt;E45),TODAY()-E45,""),"")</f>
        <v/>
      </c>
      <c r="M45" s="6" t="n"/>
    </row>
    <row r="46">
      <c r="A46" s="13" t="n">
        <v>42</v>
      </c>
      <c r="B46" s="14" t="n"/>
      <c r="C46" s="14" t="n"/>
      <c r="D46" s="15" t="n"/>
      <c r="E46" s="15" t="n"/>
      <c r="F46" s="8" t="n"/>
      <c r="G46" s="8" t="n"/>
      <c r="H46" s="8">
        <f>IFERROR(IF(F46="","",F46-G46),0)</f>
        <v/>
      </c>
      <c r="I46" s="15" t="n"/>
      <c r="J46" s="13" t="n"/>
      <c r="K46" s="13">
        <f>IFERROR(IF(F46="","",IF(H46=0,"Paid",IF(TODAY()&gt;E46,"Overdue",IF(TODAY()=E46,"Due Today","Pending")))),"")</f>
        <v/>
      </c>
      <c r="L46" s="16">
        <f>IFERROR(IF(AND(F46&lt;&gt;"",H46&gt;0,TODAY()&gt;E46),TODAY()-E46,""),"")</f>
        <v/>
      </c>
      <c r="M46" s="14" t="n"/>
    </row>
    <row r="47">
      <c r="A47" s="5" t="n">
        <v>43</v>
      </c>
      <c r="B47" s="6" t="n"/>
      <c r="C47" s="6" t="n"/>
      <c r="D47" s="7" t="n"/>
      <c r="E47" s="7" t="n"/>
      <c r="F47" s="8" t="n"/>
      <c r="G47" s="8" t="n"/>
      <c r="H47" s="8">
        <f>IFERROR(IF(F47="","",F47-G47),0)</f>
        <v/>
      </c>
      <c r="I47" s="7" t="n"/>
      <c r="J47" s="5" t="n"/>
      <c r="K47" s="5">
        <f>IFERROR(IF(F47="","",IF(H47=0,"Paid",IF(TODAY()&gt;E47,"Overdue",IF(TODAY()=E47,"Due Today","Pending")))),"")</f>
        <v/>
      </c>
      <c r="L47" s="9">
        <f>IFERROR(IF(AND(F47&lt;&gt;"",H47&gt;0,TODAY()&gt;E47),TODAY()-E47,""),"")</f>
        <v/>
      </c>
      <c r="M47" s="6" t="n"/>
    </row>
    <row r="48">
      <c r="A48" s="13" t="n">
        <v>44</v>
      </c>
      <c r="B48" s="14" t="n"/>
      <c r="C48" s="14" t="n"/>
      <c r="D48" s="15" t="n"/>
      <c r="E48" s="15" t="n"/>
      <c r="F48" s="8" t="n"/>
      <c r="G48" s="8" t="n"/>
      <c r="H48" s="8">
        <f>IFERROR(IF(F48="","",F48-G48),0)</f>
        <v/>
      </c>
      <c r="I48" s="15" t="n"/>
      <c r="J48" s="13" t="n"/>
      <c r="K48" s="13">
        <f>IFERROR(IF(F48="","",IF(H48=0,"Paid",IF(TODAY()&gt;E48,"Overdue",IF(TODAY()=E48,"Due Today","Pending")))),"")</f>
        <v/>
      </c>
      <c r="L48" s="16">
        <f>IFERROR(IF(AND(F48&lt;&gt;"",H48&gt;0,TODAY()&gt;E48),TODAY()-E48,""),"")</f>
        <v/>
      </c>
      <c r="M48" s="14" t="n"/>
    </row>
    <row r="49">
      <c r="A49" s="5" t="n">
        <v>45</v>
      </c>
      <c r="B49" s="6" t="n"/>
      <c r="C49" s="6" t="n"/>
      <c r="D49" s="7" t="n"/>
      <c r="E49" s="7" t="n"/>
      <c r="F49" s="8" t="n"/>
      <c r="G49" s="8" t="n"/>
      <c r="H49" s="8">
        <f>IFERROR(IF(F49="","",F49-G49),0)</f>
        <v/>
      </c>
      <c r="I49" s="7" t="n"/>
      <c r="J49" s="5" t="n"/>
      <c r="K49" s="5">
        <f>IFERROR(IF(F49="","",IF(H49=0,"Paid",IF(TODAY()&gt;E49,"Overdue",IF(TODAY()=E49,"Due Today","Pending")))),"")</f>
        <v/>
      </c>
      <c r="L49" s="9">
        <f>IFERROR(IF(AND(F49&lt;&gt;"",H49&gt;0,TODAY()&gt;E49),TODAY()-E49,""),"")</f>
        <v/>
      </c>
      <c r="M49" s="6" t="n"/>
    </row>
    <row r="50">
      <c r="A50" s="13" t="n">
        <v>46</v>
      </c>
      <c r="B50" s="14" t="n"/>
      <c r="C50" s="14" t="n"/>
      <c r="D50" s="15" t="n"/>
      <c r="E50" s="15" t="n"/>
      <c r="F50" s="8" t="n"/>
      <c r="G50" s="8" t="n"/>
      <c r="H50" s="8">
        <f>IFERROR(IF(F50="","",F50-G50),0)</f>
        <v/>
      </c>
      <c r="I50" s="15" t="n"/>
      <c r="J50" s="13" t="n"/>
      <c r="K50" s="13">
        <f>IFERROR(IF(F50="","",IF(H50=0,"Paid",IF(TODAY()&gt;E50,"Overdue",IF(TODAY()=E50,"Due Today","Pending")))),"")</f>
        <v/>
      </c>
      <c r="L50" s="16">
        <f>IFERROR(IF(AND(F50&lt;&gt;"",H50&gt;0,TODAY()&gt;E50),TODAY()-E50,""),"")</f>
        <v/>
      </c>
      <c r="M50" s="14" t="n"/>
    </row>
    <row r="51">
      <c r="A51" s="5" t="n">
        <v>47</v>
      </c>
      <c r="B51" s="6" t="n"/>
      <c r="C51" s="6" t="n"/>
      <c r="D51" s="7" t="n"/>
      <c r="E51" s="7" t="n"/>
      <c r="F51" s="8" t="n"/>
      <c r="G51" s="8" t="n"/>
      <c r="H51" s="8">
        <f>IFERROR(IF(F51="","",F51-G51),0)</f>
        <v/>
      </c>
      <c r="I51" s="7" t="n"/>
      <c r="J51" s="5" t="n"/>
      <c r="K51" s="5">
        <f>IFERROR(IF(F51="","",IF(H51=0,"Paid",IF(TODAY()&gt;E51,"Overdue",IF(TODAY()=E51,"Due Today","Pending")))),"")</f>
        <v/>
      </c>
      <c r="L51" s="9">
        <f>IFERROR(IF(AND(F51&lt;&gt;"",H51&gt;0,TODAY()&gt;E51),TODAY()-E51,""),"")</f>
        <v/>
      </c>
      <c r="M51" s="6" t="n"/>
    </row>
    <row r="52">
      <c r="A52" s="13" t="n">
        <v>48</v>
      </c>
      <c r="B52" s="14" t="n"/>
      <c r="C52" s="14" t="n"/>
      <c r="D52" s="15" t="n"/>
      <c r="E52" s="15" t="n"/>
      <c r="F52" s="8" t="n"/>
      <c r="G52" s="8" t="n"/>
      <c r="H52" s="8">
        <f>IFERROR(IF(F52="","",F52-G52),0)</f>
        <v/>
      </c>
      <c r="I52" s="15" t="n"/>
      <c r="J52" s="13" t="n"/>
      <c r="K52" s="13">
        <f>IFERROR(IF(F52="","",IF(H52=0,"Paid",IF(TODAY()&gt;E52,"Overdue",IF(TODAY()=E52,"Due Today","Pending")))),"")</f>
        <v/>
      </c>
      <c r="L52" s="16">
        <f>IFERROR(IF(AND(F52&lt;&gt;"",H52&gt;0,TODAY()&gt;E52),TODAY()-E52,""),"")</f>
        <v/>
      </c>
      <c r="M52" s="14" t="n"/>
    </row>
    <row r="53">
      <c r="A53" s="5" t="n">
        <v>49</v>
      </c>
      <c r="B53" s="6" t="n"/>
      <c r="C53" s="6" t="n"/>
      <c r="D53" s="7" t="n"/>
      <c r="E53" s="7" t="n"/>
      <c r="F53" s="8" t="n"/>
      <c r="G53" s="8" t="n"/>
      <c r="H53" s="8">
        <f>IFERROR(IF(F53="","",F53-G53),0)</f>
        <v/>
      </c>
      <c r="I53" s="7" t="n"/>
      <c r="J53" s="5" t="n"/>
      <c r="K53" s="5">
        <f>IFERROR(IF(F53="","",IF(H53=0,"Paid",IF(TODAY()&gt;E53,"Overdue",IF(TODAY()=E53,"Due Today","Pending")))),"")</f>
        <v/>
      </c>
      <c r="L53" s="9">
        <f>IFERROR(IF(AND(F53&lt;&gt;"",H53&gt;0,TODAY()&gt;E53),TODAY()-E53,""),"")</f>
        <v/>
      </c>
      <c r="M53" s="6" t="n"/>
    </row>
    <row r="54">
      <c r="A54" s="13" t="n">
        <v>50</v>
      </c>
      <c r="B54" s="14" t="n"/>
      <c r="C54" s="14" t="n"/>
      <c r="D54" s="15" t="n"/>
      <c r="E54" s="15" t="n"/>
      <c r="F54" s="8" t="n"/>
      <c r="G54" s="8" t="n"/>
      <c r="H54" s="8">
        <f>IFERROR(IF(F54="","",F54-G54),0)</f>
        <v/>
      </c>
      <c r="I54" s="15" t="n"/>
      <c r="J54" s="13" t="n"/>
      <c r="K54" s="13">
        <f>IFERROR(IF(F54="","",IF(H54=0,"Paid",IF(TODAY()&gt;E54,"Overdue",IF(TODAY()=E54,"Due Today","Pending")))),"")</f>
        <v/>
      </c>
      <c r="L54" s="16">
        <f>IFERROR(IF(AND(F54&lt;&gt;"",H54&gt;0,TODAY()&gt;E54),TODAY()-E54,""),"")</f>
        <v/>
      </c>
      <c r="M54" s="14" t="n"/>
    </row>
    <row r="55">
      <c r="A55" s="5" t="n">
        <v>51</v>
      </c>
      <c r="B55" s="6" t="n"/>
      <c r="C55" s="6" t="n"/>
      <c r="D55" s="7" t="n"/>
      <c r="E55" s="7" t="n"/>
      <c r="F55" s="8" t="n"/>
      <c r="G55" s="8" t="n"/>
      <c r="H55" s="8">
        <f>IFERROR(IF(F55="","",F55-G55),0)</f>
        <v/>
      </c>
      <c r="I55" s="7" t="n"/>
      <c r="J55" s="5" t="n"/>
      <c r="K55" s="5">
        <f>IFERROR(IF(F55="","",IF(H55=0,"Paid",IF(TODAY()&gt;E55,"Overdue",IF(TODAY()=E55,"Due Today","Pending")))),"")</f>
        <v/>
      </c>
      <c r="L55" s="9">
        <f>IFERROR(IF(AND(F55&lt;&gt;"",H55&gt;0,TODAY()&gt;E55),TODAY()-E55,""),"")</f>
        <v/>
      </c>
      <c r="M55" s="6" t="n"/>
    </row>
    <row r="56">
      <c r="A56" s="13" t="n">
        <v>52</v>
      </c>
      <c r="B56" s="14" t="n"/>
      <c r="C56" s="14" t="n"/>
      <c r="D56" s="15" t="n"/>
      <c r="E56" s="15" t="n"/>
      <c r="F56" s="8" t="n"/>
      <c r="G56" s="8" t="n"/>
      <c r="H56" s="8">
        <f>IFERROR(IF(F56="","",F56-G56),0)</f>
        <v/>
      </c>
      <c r="I56" s="15" t="n"/>
      <c r="J56" s="13" t="n"/>
      <c r="K56" s="13">
        <f>IFERROR(IF(F56="","",IF(H56=0,"Paid",IF(TODAY()&gt;E56,"Overdue",IF(TODAY()=E56,"Due Today","Pending")))),"")</f>
        <v/>
      </c>
      <c r="L56" s="16">
        <f>IFERROR(IF(AND(F56&lt;&gt;"",H56&gt;0,TODAY()&gt;E56),TODAY()-E56,""),"")</f>
        <v/>
      </c>
      <c r="M56" s="14" t="n"/>
    </row>
    <row r="57">
      <c r="A57" s="5" t="n">
        <v>53</v>
      </c>
      <c r="B57" s="6" t="n"/>
      <c r="C57" s="6" t="n"/>
      <c r="D57" s="7" t="n"/>
      <c r="E57" s="7" t="n"/>
      <c r="F57" s="8" t="n"/>
      <c r="G57" s="8" t="n"/>
      <c r="H57" s="8">
        <f>IFERROR(IF(F57="","",F57-G57),0)</f>
        <v/>
      </c>
      <c r="I57" s="7" t="n"/>
      <c r="J57" s="5" t="n"/>
      <c r="K57" s="5">
        <f>IFERROR(IF(F57="","",IF(H57=0,"Paid",IF(TODAY()&gt;E57,"Overdue",IF(TODAY()=E57,"Due Today","Pending")))),"")</f>
        <v/>
      </c>
      <c r="L57" s="9">
        <f>IFERROR(IF(AND(F57&lt;&gt;"",H57&gt;0,TODAY()&gt;E57),TODAY()-E57,""),"")</f>
        <v/>
      </c>
      <c r="M57" s="6" t="n"/>
    </row>
    <row r="58">
      <c r="A58" s="13" t="n">
        <v>54</v>
      </c>
      <c r="B58" s="14" t="n"/>
      <c r="C58" s="14" t="n"/>
      <c r="D58" s="15" t="n"/>
      <c r="E58" s="15" t="n"/>
      <c r="F58" s="8" t="n"/>
      <c r="G58" s="8" t="n"/>
      <c r="H58" s="8">
        <f>IFERROR(IF(F58="","",F58-G58),0)</f>
        <v/>
      </c>
      <c r="I58" s="15" t="n"/>
      <c r="J58" s="13" t="n"/>
      <c r="K58" s="13">
        <f>IFERROR(IF(F58="","",IF(H58=0,"Paid",IF(TODAY()&gt;E58,"Overdue",IF(TODAY()=E58,"Due Today","Pending")))),"")</f>
        <v/>
      </c>
      <c r="L58" s="16">
        <f>IFERROR(IF(AND(F58&lt;&gt;"",H58&gt;0,TODAY()&gt;E58),TODAY()-E58,""),"")</f>
        <v/>
      </c>
      <c r="M58" s="14" t="n"/>
    </row>
    <row r="59">
      <c r="A59" s="5" t="n">
        <v>55</v>
      </c>
      <c r="B59" s="6" t="n"/>
      <c r="C59" s="6" t="n"/>
      <c r="D59" s="7" t="n"/>
      <c r="E59" s="7" t="n"/>
      <c r="F59" s="8" t="n"/>
      <c r="G59" s="8" t="n"/>
      <c r="H59" s="8">
        <f>IFERROR(IF(F59="","",F59-G59),0)</f>
        <v/>
      </c>
      <c r="I59" s="7" t="n"/>
      <c r="J59" s="5" t="n"/>
      <c r="K59" s="5">
        <f>IFERROR(IF(F59="","",IF(H59=0,"Paid",IF(TODAY()&gt;E59,"Overdue",IF(TODAY()=E59,"Due Today","Pending")))),"")</f>
        <v/>
      </c>
      <c r="L59" s="9">
        <f>IFERROR(IF(AND(F59&lt;&gt;"",H59&gt;0,TODAY()&gt;E59),TODAY()-E59,""),"")</f>
        <v/>
      </c>
      <c r="M59" s="6" t="n"/>
    </row>
    <row r="60">
      <c r="A60" s="13" t="n">
        <v>56</v>
      </c>
      <c r="B60" s="14" t="n"/>
      <c r="C60" s="14" t="n"/>
      <c r="D60" s="15" t="n"/>
      <c r="E60" s="15" t="n"/>
      <c r="F60" s="8" t="n"/>
      <c r="G60" s="8" t="n"/>
      <c r="H60" s="8">
        <f>IFERROR(IF(F60="","",F60-G60),0)</f>
        <v/>
      </c>
      <c r="I60" s="15" t="n"/>
      <c r="J60" s="13" t="n"/>
      <c r="K60" s="13">
        <f>IFERROR(IF(F60="","",IF(H60=0,"Paid",IF(TODAY()&gt;E60,"Overdue",IF(TODAY()=E60,"Due Today","Pending")))),"")</f>
        <v/>
      </c>
      <c r="L60" s="16">
        <f>IFERROR(IF(AND(F60&lt;&gt;"",H60&gt;0,TODAY()&gt;E60),TODAY()-E60,""),"")</f>
        <v/>
      </c>
      <c r="M60" s="14" t="n"/>
    </row>
    <row r="61">
      <c r="A61" s="5" t="n">
        <v>57</v>
      </c>
      <c r="B61" s="6" t="n"/>
      <c r="C61" s="6" t="n"/>
      <c r="D61" s="7" t="n"/>
      <c r="E61" s="7" t="n"/>
      <c r="F61" s="8" t="n"/>
      <c r="G61" s="8" t="n"/>
      <c r="H61" s="8">
        <f>IFERROR(IF(F61="","",F61-G61),0)</f>
        <v/>
      </c>
      <c r="I61" s="7" t="n"/>
      <c r="J61" s="5" t="n"/>
      <c r="K61" s="5">
        <f>IFERROR(IF(F61="","",IF(H61=0,"Paid",IF(TODAY()&gt;E61,"Overdue",IF(TODAY()=E61,"Due Today","Pending")))),"")</f>
        <v/>
      </c>
      <c r="L61" s="9">
        <f>IFERROR(IF(AND(F61&lt;&gt;"",H61&gt;0,TODAY()&gt;E61),TODAY()-E61,""),"")</f>
        <v/>
      </c>
      <c r="M61" s="6" t="n"/>
    </row>
    <row r="62">
      <c r="A62" s="13" t="n">
        <v>58</v>
      </c>
      <c r="B62" s="14" t="n"/>
      <c r="C62" s="14" t="n"/>
      <c r="D62" s="15" t="n"/>
      <c r="E62" s="15" t="n"/>
      <c r="F62" s="8" t="n"/>
      <c r="G62" s="8" t="n"/>
      <c r="H62" s="8">
        <f>IFERROR(IF(F62="","",F62-G62),0)</f>
        <v/>
      </c>
      <c r="I62" s="15" t="n"/>
      <c r="J62" s="13" t="n"/>
      <c r="K62" s="13">
        <f>IFERROR(IF(F62="","",IF(H62=0,"Paid",IF(TODAY()&gt;E62,"Overdue",IF(TODAY()=E62,"Due Today","Pending")))),"")</f>
        <v/>
      </c>
      <c r="L62" s="16">
        <f>IFERROR(IF(AND(F62&lt;&gt;"",H62&gt;0,TODAY()&gt;E62),TODAY()-E62,""),"")</f>
        <v/>
      </c>
      <c r="M62" s="14" t="n"/>
    </row>
    <row r="63">
      <c r="A63" s="5" t="n">
        <v>59</v>
      </c>
      <c r="B63" s="6" t="n"/>
      <c r="C63" s="6" t="n"/>
      <c r="D63" s="7" t="n"/>
      <c r="E63" s="7" t="n"/>
      <c r="F63" s="8" t="n"/>
      <c r="G63" s="8" t="n"/>
      <c r="H63" s="8">
        <f>IFERROR(IF(F63="","",F63-G63),0)</f>
        <v/>
      </c>
      <c r="I63" s="7" t="n"/>
      <c r="J63" s="5" t="n"/>
      <c r="K63" s="5">
        <f>IFERROR(IF(F63="","",IF(H63=0,"Paid",IF(TODAY()&gt;E63,"Overdue",IF(TODAY()=E63,"Due Today","Pending")))),"")</f>
        <v/>
      </c>
      <c r="L63" s="9">
        <f>IFERROR(IF(AND(F63&lt;&gt;"",H63&gt;0,TODAY()&gt;E63),TODAY()-E63,""),"")</f>
        <v/>
      </c>
      <c r="M63" s="6" t="n"/>
    </row>
    <row r="64">
      <c r="A64" s="13" t="n">
        <v>60</v>
      </c>
      <c r="B64" s="14" t="n"/>
      <c r="C64" s="14" t="n"/>
      <c r="D64" s="15" t="n"/>
      <c r="E64" s="15" t="n"/>
      <c r="F64" s="8" t="n"/>
      <c r="G64" s="8" t="n"/>
      <c r="H64" s="8">
        <f>IFERROR(IF(F64="","",F64-G64),0)</f>
        <v/>
      </c>
      <c r="I64" s="15" t="n"/>
      <c r="J64" s="13" t="n"/>
      <c r="K64" s="13">
        <f>IFERROR(IF(F64="","",IF(H64=0,"Paid",IF(TODAY()&gt;E64,"Overdue",IF(TODAY()=E64,"Due Today","Pending")))),"")</f>
        <v/>
      </c>
      <c r="L64" s="16">
        <f>IFERROR(IF(AND(F64&lt;&gt;"",H64&gt;0,TODAY()&gt;E64),TODAY()-E64,""),"")</f>
        <v/>
      </c>
      <c r="M64" s="14" t="n"/>
    </row>
    <row r="65">
      <c r="A65" s="5" t="n">
        <v>61</v>
      </c>
      <c r="B65" s="6" t="n"/>
      <c r="C65" s="6" t="n"/>
      <c r="D65" s="7" t="n"/>
      <c r="E65" s="7" t="n"/>
      <c r="F65" s="8" t="n"/>
      <c r="G65" s="8" t="n"/>
      <c r="H65" s="8">
        <f>IFERROR(IF(F65="","",F65-G65),0)</f>
        <v/>
      </c>
      <c r="I65" s="7" t="n"/>
      <c r="J65" s="5" t="n"/>
      <c r="K65" s="5">
        <f>IFERROR(IF(F65="","",IF(H65=0,"Paid",IF(TODAY()&gt;E65,"Overdue",IF(TODAY()=E65,"Due Today","Pending")))),"")</f>
        <v/>
      </c>
      <c r="L65" s="9">
        <f>IFERROR(IF(AND(F65&lt;&gt;"",H65&gt;0,TODAY()&gt;E65),TODAY()-E65,""),"")</f>
        <v/>
      </c>
      <c r="M65" s="6" t="n"/>
    </row>
    <row r="66">
      <c r="A66" s="13" t="n">
        <v>62</v>
      </c>
      <c r="B66" s="14" t="n"/>
      <c r="C66" s="14" t="n"/>
      <c r="D66" s="15" t="n"/>
      <c r="E66" s="15" t="n"/>
      <c r="F66" s="8" t="n"/>
      <c r="G66" s="8" t="n"/>
      <c r="H66" s="8">
        <f>IFERROR(IF(F66="","",F66-G66),0)</f>
        <v/>
      </c>
      <c r="I66" s="15" t="n"/>
      <c r="J66" s="13" t="n"/>
      <c r="K66" s="13">
        <f>IFERROR(IF(F66="","",IF(H66=0,"Paid",IF(TODAY()&gt;E66,"Overdue",IF(TODAY()=E66,"Due Today","Pending")))),"")</f>
        <v/>
      </c>
      <c r="L66" s="16">
        <f>IFERROR(IF(AND(F66&lt;&gt;"",H66&gt;0,TODAY()&gt;E66),TODAY()-E66,""),"")</f>
        <v/>
      </c>
      <c r="M66" s="14" t="n"/>
    </row>
    <row r="67">
      <c r="A67" s="5" t="n">
        <v>63</v>
      </c>
      <c r="B67" s="6" t="n"/>
      <c r="C67" s="6" t="n"/>
      <c r="D67" s="7" t="n"/>
      <c r="E67" s="7" t="n"/>
      <c r="F67" s="8" t="n"/>
      <c r="G67" s="8" t="n"/>
      <c r="H67" s="8">
        <f>IFERROR(IF(F67="","",F67-G67),0)</f>
        <v/>
      </c>
      <c r="I67" s="7" t="n"/>
      <c r="J67" s="5" t="n"/>
      <c r="K67" s="5">
        <f>IFERROR(IF(F67="","",IF(H67=0,"Paid",IF(TODAY()&gt;E67,"Overdue",IF(TODAY()=E67,"Due Today","Pending")))),"")</f>
        <v/>
      </c>
      <c r="L67" s="9">
        <f>IFERROR(IF(AND(F67&lt;&gt;"",H67&gt;0,TODAY()&gt;E67),TODAY()-E67,""),"")</f>
        <v/>
      </c>
      <c r="M67" s="6" t="n"/>
    </row>
    <row r="68">
      <c r="A68" s="13" t="n">
        <v>64</v>
      </c>
      <c r="B68" s="14" t="n"/>
      <c r="C68" s="14" t="n"/>
      <c r="D68" s="15" t="n"/>
      <c r="E68" s="15" t="n"/>
      <c r="F68" s="8" t="n"/>
      <c r="G68" s="8" t="n"/>
      <c r="H68" s="8">
        <f>IFERROR(IF(F68="","",F68-G68),0)</f>
        <v/>
      </c>
      <c r="I68" s="15" t="n"/>
      <c r="J68" s="13" t="n"/>
      <c r="K68" s="13">
        <f>IFERROR(IF(F68="","",IF(H68=0,"Paid",IF(TODAY()&gt;E68,"Overdue",IF(TODAY()=E68,"Due Today","Pending")))),"")</f>
        <v/>
      </c>
      <c r="L68" s="16">
        <f>IFERROR(IF(AND(F68&lt;&gt;"",H68&gt;0,TODAY()&gt;E68),TODAY()-E68,""),"")</f>
        <v/>
      </c>
      <c r="M68" s="14" t="n"/>
    </row>
    <row r="69">
      <c r="A69" s="5" t="n">
        <v>65</v>
      </c>
      <c r="B69" s="6" t="n"/>
      <c r="C69" s="6" t="n"/>
      <c r="D69" s="7" t="n"/>
      <c r="E69" s="7" t="n"/>
      <c r="F69" s="8" t="n"/>
      <c r="G69" s="8" t="n"/>
      <c r="H69" s="8">
        <f>IFERROR(IF(F69="","",F69-G69),0)</f>
        <v/>
      </c>
      <c r="I69" s="7" t="n"/>
      <c r="J69" s="5" t="n"/>
      <c r="K69" s="5">
        <f>IFERROR(IF(F69="","",IF(H69=0,"Paid",IF(TODAY()&gt;E69,"Overdue",IF(TODAY()=E69,"Due Today","Pending")))),"")</f>
        <v/>
      </c>
      <c r="L69" s="9">
        <f>IFERROR(IF(AND(F69&lt;&gt;"",H69&gt;0,TODAY()&gt;E69),TODAY()-E69,""),"")</f>
        <v/>
      </c>
      <c r="M69" s="6" t="n"/>
    </row>
    <row r="70">
      <c r="A70" s="13" t="n">
        <v>66</v>
      </c>
      <c r="B70" s="14" t="n"/>
      <c r="C70" s="14" t="n"/>
      <c r="D70" s="15" t="n"/>
      <c r="E70" s="15" t="n"/>
      <c r="F70" s="8" t="n"/>
      <c r="G70" s="8" t="n"/>
      <c r="H70" s="8">
        <f>IFERROR(IF(F70="","",F70-G70),0)</f>
        <v/>
      </c>
      <c r="I70" s="15" t="n"/>
      <c r="J70" s="13" t="n"/>
      <c r="K70" s="13">
        <f>IFERROR(IF(F70="","",IF(H70=0,"Paid",IF(TODAY()&gt;E70,"Overdue",IF(TODAY()=E70,"Due Today","Pending")))),"")</f>
        <v/>
      </c>
      <c r="L70" s="16">
        <f>IFERROR(IF(AND(F70&lt;&gt;"",H70&gt;0,TODAY()&gt;E70),TODAY()-E70,""),"")</f>
        <v/>
      </c>
      <c r="M70" s="14" t="n"/>
    </row>
    <row r="71">
      <c r="A71" s="5" t="n">
        <v>67</v>
      </c>
      <c r="B71" s="6" t="n"/>
      <c r="C71" s="6" t="n"/>
      <c r="D71" s="7" t="n"/>
      <c r="E71" s="7" t="n"/>
      <c r="F71" s="8" t="n"/>
      <c r="G71" s="8" t="n"/>
      <c r="H71" s="8">
        <f>IFERROR(IF(F71="","",F71-G71),0)</f>
        <v/>
      </c>
      <c r="I71" s="7" t="n"/>
      <c r="J71" s="5" t="n"/>
      <c r="K71" s="5">
        <f>IFERROR(IF(F71="","",IF(H71=0,"Paid",IF(TODAY()&gt;E71,"Overdue",IF(TODAY()=E71,"Due Today","Pending")))),"")</f>
        <v/>
      </c>
      <c r="L71" s="9">
        <f>IFERROR(IF(AND(F71&lt;&gt;"",H71&gt;0,TODAY()&gt;E71),TODAY()-E71,""),"")</f>
        <v/>
      </c>
      <c r="M71" s="6" t="n"/>
    </row>
    <row r="72">
      <c r="A72" s="13" t="n">
        <v>68</v>
      </c>
      <c r="B72" s="14" t="n"/>
      <c r="C72" s="14" t="n"/>
      <c r="D72" s="15" t="n"/>
      <c r="E72" s="15" t="n"/>
      <c r="F72" s="8" t="n"/>
      <c r="G72" s="8" t="n"/>
      <c r="H72" s="8">
        <f>IFERROR(IF(F72="","",F72-G72),0)</f>
        <v/>
      </c>
      <c r="I72" s="15" t="n"/>
      <c r="J72" s="13" t="n"/>
      <c r="K72" s="13">
        <f>IFERROR(IF(F72="","",IF(H72=0,"Paid",IF(TODAY()&gt;E72,"Overdue",IF(TODAY()=E72,"Due Today","Pending")))),"")</f>
        <v/>
      </c>
      <c r="L72" s="16">
        <f>IFERROR(IF(AND(F72&lt;&gt;"",H72&gt;0,TODAY()&gt;E72),TODAY()-E72,""),"")</f>
        <v/>
      </c>
      <c r="M72" s="14" t="n"/>
    </row>
    <row r="73">
      <c r="A73" s="5" t="n">
        <v>69</v>
      </c>
      <c r="B73" s="6" t="n"/>
      <c r="C73" s="6" t="n"/>
      <c r="D73" s="7" t="n"/>
      <c r="E73" s="7" t="n"/>
      <c r="F73" s="8" t="n"/>
      <c r="G73" s="8" t="n"/>
      <c r="H73" s="8">
        <f>IFERROR(IF(F73="","",F73-G73),0)</f>
        <v/>
      </c>
      <c r="I73" s="7" t="n"/>
      <c r="J73" s="5" t="n"/>
      <c r="K73" s="5">
        <f>IFERROR(IF(F73="","",IF(H73=0,"Paid",IF(TODAY()&gt;E73,"Overdue",IF(TODAY()=E73,"Due Today","Pending")))),"")</f>
        <v/>
      </c>
      <c r="L73" s="9">
        <f>IFERROR(IF(AND(F73&lt;&gt;"",H73&gt;0,TODAY()&gt;E73),TODAY()-E73,""),"")</f>
        <v/>
      </c>
      <c r="M73" s="6" t="n"/>
    </row>
    <row r="74">
      <c r="A74" s="13" t="n">
        <v>70</v>
      </c>
      <c r="B74" s="14" t="n"/>
      <c r="C74" s="14" t="n"/>
      <c r="D74" s="15" t="n"/>
      <c r="E74" s="15" t="n"/>
      <c r="F74" s="8" t="n"/>
      <c r="G74" s="8" t="n"/>
      <c r="H74" s="8">
        <f>IFERROR(IF(F74="","",F74-G74),0)</f>
        <v/>
      </c>
      <c r="I74" s="15" t="n"/>
      <c r="J74" s="13" t="n"/>
      <c r="K74" s="13">
        <f>IFERROR(IF(F74="","",IF(H74=0,"Paid",IF(TODAY()&gt;E74,"Overdue",IF(TODAY()=E74,"Due Today","Pending")))),"")</f>
        <v/>
      </c>
      <c r="L74" s="16">
        <f>IFERROR(IF(AND(F74&lt;&gt;"",H74&gt;0,TODAY()&gt;E74),TODAY()-E74,""),"")</f>
        <v/>
      </c>
      <c r="M74" s="14" t="n"/>
    </row>
    <row r="75">
      <c r="A75" s="5" t="n">
        <v>71</v>
      </c>
      <c r="B75" s="6" t="n"/>
      <c r="C75" s="6" t="n"/>
      <c r="D75" s="7" t="n"/>
      <c r="E75" s="7" t="n"/>
      <c r="F75" s="8" t="n"/>
      <c r="G75" s="8" t="n"/>
      <c r="H75" s="8">
        <f>IFERROR(IF(F75="","",F75-G75),0)</f>
        <v/>
      </c>
      <c r="I75" s="7" t="n"/>
      <c r="J75" s="5" t="n"/>
      <c r="K75" s="5">
        <f>IFERROR(IF(F75="","",IF(H75=0,"Paid",IF(TODAY()&gt;E75,"Overdue",IF(TODAY()=E75,"Due Today","Pending")))),"")</f>
        <v/>
      </c>
      <c r="L75" s="9">
        <f>IFERROR(IF(AND(F75&lt;&gt;"",H75&gt;0,TODAY()&gt;E75),TODAY()-E75,""),"")</f>
        <v/>
      </c>
      <c r="M75" s="6" t="n"/>
    </row>
    <row r="76">
      <c r="A76" s="13" t="n">
        <v>72</v>
      </c>
      <c r="B76" s="14" t="n"/>
      <c r="C76" s="14" t="n"/>
      <c r="D76" s="15" t="n"/>
      <c r="E76" s="15" t="n"/>
      <c r="F76" s="8" t="n"/>
      <c r="G76" s="8" t="n"/>
      <c r="H76" s="8">
        <f>IFERROR(IF(F76="","",F76-G76),0)</f>
        <v/>
      </c>
      <c r="I76" s="15" t="n"/>
      <c r="J76" s="13" t="n"/>
      <c r="K76" s="13">
        <f>IFERROR(IF(F76="","",IF(H76=0,"Paid",IF(TODAY()&gt;E76,"Overdue",IF(TODAY()=E76,"Due Today","Pending")))),"")</f>
        <v/>
      </c>
      <c r="L76" s="16">
        <f>IFERROR(IF(AND(F76&lt;&gt;"",H76&gt;0,TODAY()&gt;E76),TODAY()-E76,""),"")</f>
        <v/>
      </c>
      <c r="M76" s="14" t="n"/>
    </row>
    <row r="77">
      <c r="A77" s="5" t="n">
        <v>73</v>
      </c>
      <c r="B77" s="6" t="n"/>
      <c r="C77" s="6" t="n"/>
      <c r="D77" s="7" t="n"/>
      <c r="E77" s="7" t="n"/>
      <c r="F77" s="8" t="n"/>
      <c r="G77" s="8" t="n"/>
      <c r="H77" s="8">
        <f>IFERROR(IF(F77="","",F77-G77),0)</f>
        <v/>
      </c>
      <c r="I77" s="7" t="n"/>
      <c r="J77" s="5" t="n"/>
      <c r="K77" s="5">
        <f>IFERROR(IF(F77="","",IF(H77=0,"Paid",IF(TODAY()&gt;E77,"Overdue",IF(TODAY()=E77,"Due Today","Pending")))),"")</f>
        <v/>
      </c>
      <c r="L77" s="9">
        <f>IFERROR(IF(AND(F77&lt;&gt;"",H77&gt;0,TODAY()&gt;E77),TODAY()-E77,""),"")</f>
        <v/>
      </c>
      <c r="M77" s="6" t="n"/>
    </row>
    <row r="78">
      <c r="A78" s="13" t="n">
        <v>74</v>
      </c>
      <c r="B78" s="14" t="n"/>
      <c r="C78" s="14" t="n"/>
      <c r="D78" s="15" t="n"/>
      <c r="E78" s="15" t="n"/>
      <c r="F78" s="8" t="n"/>
      <c r="G78" s="8" t="n"/>
      <c r="H78" s="8">
        <f>IFERROR(IF(F78="","",F78-G78),0)</f>
        <v/>
      </c>
      <c r="I78" s="15" t="n"/>
      <c r="J78" s="13" t="n"/>
      <c r="K78" s="13">
        <f>IFERROR(IF(F78="","",IF(H78=0,"Paid",IF(TODAY()&gt;E78,"Overdue",IF(TODAY()=E78,"Due Today","Pending")))),"")</f>
        <v/>
      </c>
      <c r="L78" s="16">
        <f>IFERROR(IF(AND(F78&lt;&gt;"",H78&gt;0,TODAY()&gt;E78),TODAY()-E78,""),"")</f>
        <v/>
      </c>
      <c r="M78" s="14" t="n"/>
    </row>
    <row r="79">
      <c r="A79" s="5" t="n">
        <v>75</v>
      </c>
      <c r="B79" s="6" t="n"/>
      <c r="C79" s="6" t="n"/>
      <c r="D79" s="7" t="n"/>
      <c r="E79" s="7" t="n"/>
      <c r="F79" s="8" t="n"/>
      <c r="G79" s="8" t="n"/>
      <c r="H79" s="8">
        <f>IFERROR(IF(F79="","",F79-G79),0)</f>
        <v/>
      </c>
      <c r="I79" s="7" t="n"/>
      <c r="J79" s="5" t="n"/>
      <c r="K79" s="5">
        <f>IFERROR(IF(F79="","",IF(H79=0,"Paid",IF(TODAY()&gt;E79,"Overdue",IF(TODAY()=E79,"Due Today","Pending")))),"")</f>
        <v/>
      </c>
      <c r="L79" s="9">
        <f>IFERROR(IF(AND(F79&lt;&gt;"",H79&gt;0,TODAY()&gt;E79),TODAY()-E79,""),"")</f>
        <v/>
      </c>
      <c r="M79" s="6" t="n"/>
    </row>
    <row r="80">
      <c r="A80" s="13" t="n">
        <v>76</v>
      </c>
      <c r="B80" s="14" t="n"/>
      <c r="C80" s="14" t="n"/>
      <c r="D80" s="15" t="n"/>
      <c r="E80" s="15" t="n"/>
      <c r="F80" s="8" t="n"/>
      <c r="G80" s="8" t="n"/>
      <c r="H80" s="8">
        <f>IFERROR(IF(F80="","",F80-G80),0)</f>
        <v/>
      </c>
      <c r="I80" s="15" t="n"/>
      <c r="J80" s="13" t="n"/>
      <c r="K80" s="13">
        <f>IFERROR(IF(F80="","",IF(H80=0,"Paid",IF(TODAY()&gt;E80,"Overdue",IF(TODAY()=E80,"Due Today","Pending")))),"")</f>
        <v/>
      </c>
      <c r="L80" s="16">
        <f>IFERROR(IF(AND(F80&lt;&gt;"",H80&gt;0,TODAY()&gt;E80),TODAY()-E80,""),"")</f>
        <v/>
      </c>
      <c r="M80" s="14" t="n"/>
    </row>
    <row r="81">
      <c r="A81" s="5" t="n">
        <v>77</v>
      </c>
      <c r="B81" s="6" t="n"/>
      <c r="C81" s="6" t="n"/>
      <c r="D81" s="7" t="n"/>
      <c r="E81" s="7" t="n"/>
      <c r="F81" s="8" t="n"/>
      <c r="G81" s="8" t="n"/>
      <c r="H81" s="8">
        <f>IFERROR(IF(F81="","",F81-G81),0)</f>
        <v/>
      </c>
      <c r="I81" s="7" t="n"/>
      <c r="J81" s="5" t="n"/>
      <c r="K81" s="5">
        <f>IFERROR(IF(F81="","",IF(H81=0,"Paid",IF(TODAY()&gt;E81,"Overdue",IF(TODAY()=E81,"Due Today","Pending")))),"")</f>
        <v/>
      </c>
      <c r="L81" s="9">
        <f>IFERROR(IF(AND(F81&lt;&gt;"",H81&gt;0,TODAY()&gt;E81),TODAY()-E81,""),"")</f>
        <v/>
      </c>
      <c r="M81" s="6" t="n"/>
    </row>
    <row r="82">
      <c r="A82" s="13" t="n">
        <v>78</v>
      </c>
      <c r="B82" s="14" t="n"/>
      <c r="C82" s="14" t="n"/>
      <c r="D82" s="15" t="n"/>
      <c r="E82" s="15" t="n"/>
      <c r="F82" s="8" t="n"/>
      <c r="G82" s="8" t="n"/>
      <c r="H82" s="8">
        <f>IFERROR(IF(F82="","",F82-G82),0)</f>
        <v/>
      </c>
      <c r="I82" s="15" t="n"/>
      <c r="J82" s="13" t="n"/>
      <c r="K82" s="13">
        <f>IFERROR(IF(F82="","",IF(H82=0,"Paid",IF(TODAY()&gt;E82,"Overdue",IF(TODAY()=E82,"Due Today","Pending")))),"")</f>
        <v/>
      </c>
      <c r="L82" s="16">
        <f>IFERROR(IF(AND(F82&lt;&gt;"",H82&gt;0,TODAY()&gt;E82),TODAY()-E82,""),"")</f>
        <v/>
      </c>
      <c r="M82" s="14" t="n"/>
    </row>
    <row r="83">
      <c r="A83" s="5" t="n">
        <v>79</v>
      </c>
      <c r="B83" s="6" t="n"/>
      <c r="C83" s="6" t="n"/>
      <c r="D83" s="7" t="n"/>
      <c r="E83" s="7" t="n"/>
      <c r="F83" s="8" t="n"/>
      <c r="G83" s="8" t="n"/>
      <c r="H83" s="8">
        <f>IFERROR(IF(F83="","",F83-G83),0)</f>
        <v/>
      </c>
      <c r="I83" s="7" t="n"/>
      <c r="J83" s="5" t="n"/>
      <c r="K83" s="5">
        <f>IFERROR(IF(F83="","",IF(H83=0,"Paid",IF(TODAY()&gt;E83,"Overdue",IF(TODAY()=E83,"Due Today","Pending")))),"")</f>
        <v/>
      </c>
      <c r="L83" s="9">
        <f>IFERROR(IF(AND(F83&lt;&gt;"",H83&gt;0,TODAY()&gt;E83),TODAY()-E83,""),"")</f>
        <v/>
      </c>
      <c r="M83" s="6" t="n"/>
    </row>
    <row r="84">
      <c r="A84" s="13" t="n">
        <v>80</v>
      </c>
      <c r="B84" s="14" t="n"/>
      <c r="C84" s="14" t="n"/>
      <c r="D84" s="15" t="n"/>
      <c r="E84" s="15" t="n"/>
      <c r="F84" s="8" t="n"/>
      <c r="G84" s="8" t="n"/>
      <c r="H84" s="8">
        <f>IFERROR(IF(F84="","",F84-G84),0)</f>
        <v/>
      </c>
      <c r="I84" s="15" t="n"/>
      <c r="J84" s="13" t="n"/>
      <c r="K84" s="13">
        <f>IFERROR(IF(F84="","",IF(H84=0,"Paid",IF(TODAY()&gt;E84,"Overdue",IF(TODAY()=E84,"Due Today","Pending")))),"")</f>
        <v/>
      </c>
      <c r="L84" s="16">
        <f>IFERROR(IF(AND(F84&lt;&gt;"",H84&gt;0,TODAY()&gt;E84),TODAY()-E84,""),"")</f>
        <v/>
      </c>
      <c r="M84" s="14" t="n"/>
    </row>
    <row r="85">
      <c r="A85" s="5" t="n">
        <v>81</v>
      </c>
      <c r="B85" s="6" t="n"/>
      <c r="C85" s="6" t="n"/>
      <c r="D85" s="7" t="n"/>
      <c r="E85" s="7" t="n"/>
      <c r="F85" s="8" t="n"/>
      <c r="G85" s="8" t="n"/>
      <c r="H85" s="8">
        <f>IFERROR(IF(F85="","",F85-G85),0)</f>
        <v/>
      </c>
      <c r="I85" s="7" t="n"/>
      <c r="J85" s="5" t="n"/>
      <c r="K85" s="5">
        <f>IFERROR(IF(F85="","",IF(H85=0,"Paid",IF(TODAY()&gt;E85,"Overdue",IF(TODAY()=E85,"Due Today","Pending")))),"")</f>
        <v/>
      </c>
      <c r="L85" s="9">
        <f>IFERROR(IF(AND(F85&lt;&gt;"",H85&gt;0,TODAY()&gt;E85),TODAY()-E85,""),"")</f>
        <v/>
      </c>
      <c r="M85" s="6" t="n"/>
    </row>
    <row r="86">
      <c r="A86" s="13" t="n">
        <v>82</v>
      </c>
      <c r="B86" s="14" t="n"/>
      <c r="C86" s="14" t="n"/>
      <c r="D86" s="15" t="n"/>
      <c r="E86" s="15" t="n"/>
      <c r="F86" s="8" t="n"/>
      <c r="G86" s="8" t="n"/>
      <c r="H86" s="8">
        <f>IFERROR(IF(F86="","",F86-G86),0)</f>
        <v/>
      </c>
      <c r="I86" s="15" t="n"/>
      <c r="J86" s="13" t="n"/>
      <c r="K86" s="13">
        <f>IFERROR(IF(F86="","",IF(H86=0,"Paid",IF(TODAY()&gt;E86,"Overdue",IF(TODAY()=E86,"Due Today","Pending")))),"")</f>
        <v/>
      </c>
      <c r="L86" s="16">
        <f>IFERROR(IF(AND(F86&lt;&gt;"",H86&gt;0,TODAY()&gt;E86),TODAY()-E86,""),"")</f>
        <v/>
      </c>
      <c r="M86" s="14" t="n"/>
    </row>
    <row r="87">
      <c r="A87" s="5" t="n">
        <v>83</v>
      </c>
      <c r="B87" s="6" t="n"/>
      <c r="C87" s="6" t="n"/>
      <c r="D87" s="7" t="n"/>
      <c r="E87" s="7" t="n"/>
      <c r="F87" s="8" t="n"/>
      <c r="G87" s="8" t="n"/>
      <c r="H87" s="8">
        <f>IFERROR(IF(F87="","",F87-G87),0)</f>
        <v/>
      </c>
      <c r="I87" s="7" t="n"/>
      <c r="J87" s="5" t="n"/>
      <c r="K87" s="5">
        <f>IFERROR(IF(F87="","",IF(H87=0,"Paid",IF(TODAY()&gt;E87,"Overdue",IF(TODAY()=E87,"Due Today","Pending")))),"")</f>
        <v/>
      </c>
      <c r="L87" s="9">
        <f>IFERROR(IF(AND(F87&lt;&gt;"",H87&gt;0,TODAY()&gt;E87),TODAY()-E87,""),"")</f>
        <v/>
      </c>
      <c r="M87" s="6" t="n"/>
    </row>
    <row r="88">
      <c r="A88" s="13" t="n">
        <v>84</v>
      </c>
      <c r="B88" s="14" t="n"/>
      <c r="C88" s="14" t="n"/>
      <c r="D88" s="15" t="n"/>
      <c r="E88" s="15" t="n"/>
      <c r="F88" s="8" t="n"/>
      <c r="G88" s="8" t="n"/>
      <c r="H88" s="8">
        <f>IFERROR(IF(F88="","",F88-G88),0)</f>
        <v/>
      </c>
      <c r="I88" s="15" t="n"/>
      <c r="J88" s="13" t="n"/>
      <c r="K88" s="13">
        <f>IFERROR(IF(F88="","",IF(H88=0,"Paid",IF(TODAY()&gt;E88,"Overdue",IF(TODAY()=E88,"Due Today","Pending")))),"")</f>
        <v/>
      </c>
      <c r="L88" s="16">
        <f>IFERROR(IF(AND(F88&lt;&gt;"",H88&gt;0,TODAY()&gt;E88),TODAY()-E88,""),"")</f>
        <v/>
      </c>
      <c r="M88" s="14" t="n"/>
    </row>
    <row r="89">
      <c r="A89" s="5" t="n">
        <v>85</v>
      </c>
      <c r="B89" s="6" t="n"/>
      <c r="C89" s="6" t="n"/>
      <c r="D89" s="7" t="n"/>
      <c r="E89" s="7" t="n"/>
      <c r="F89" s="8" t="n"/>
      <c r="G89" s="8" t="n"/>
      <c r="H89" s="8">
        <f>IFERROR(IF(F89="","",F89-G89),0)</f>
        <v/>
      </c>
      <c r="I89" s="7" t="n"/>
      <c r="J89" s="5" t="n"/>
      <c r="K89" s="5">
        <f>IFERROR(IF(F89="","",IF(H89=0,"Paid",IF(TODAY()&gt;E89,"Overdue",IF(TODAY()=E89,"Due Today","Pending")))),"")</f>
        <v/>
      </c>
      <c r="L89" s="9">
        <f>IFERROR(IF(AND(F89&lt;&gt;"",H89&gt;0,TODAY()&gt;E89),TODAY()-E89,""),"")</f>
        <v/>
      </c>
      <c r="M89" s="6" t="n"/>
    </row>
    <row r="90">
      <c r="A90" s="13" t="n">
        <v>86</v>
      </c>
      <c r="B90" s="14" t="n"/>
      <c r="C90" s="14" t="n"/>
      <c r="D90" s="15" t="n"/>
      <c r="E90" s="15" t="n"/>
      <c r="F90" s="8" t="n"/>
      <c r="G90" s="8" t="n"/>
      <c r="H90" s="8">
        <f>IFERROR(IF(F90="","",F90-G90),0)</f>
        <v/>
      </c>
      <c r="I90" s="15" t="n"/>
      <c r="J90" s="13" t="n"/>
      <c r="K90" s="13">
        <f>IFERROR(IF(F90="","",IF(H90=0,"Paid",IF(TODAY()&gt;E90,"Overdue",IF(TODAY()=E90,"Due Today","Pending")))),"")</f>
        <v/>
      </c>
      <c r="L90" s="16">
        <f>IFERROR(IF(AND(F90&lt;&gt;"",H90&gt;0,TODAY()&gt;E90),TODAY()-E90,""),"")</f>
        <v/>
      </c>
      <c r="M90" s="14" t="n"/>
    </row>
    <row r="91">
      <c r="A91" s="5" t="n">
        <v>87</v>
      </c>
      <c r="B91" s="6" t="n"/>
      <c r="C91" s="6" t="n"/>
      <c r="D91" s="7" t="n"/>
      <c r="E91" s="7" t="n"/>
      <c r="F91" s="8" t="n"/>
      <c r="G91" s="8" t="n"/>
      <c r="H91" s="8">
        <f>IFERROR(IF(F91="","",F91-G91),0)</f>
        <v/>
      </c>
      <c r="I91" s="7" t="n"/>
      <c r="J91" s="5" t="n"/>
      <c r="K91" s="5">
        <f>IFERROR(IF(F91="","",IF(H91=0,"Paid",IF(TODAY()&gt;E91,"Overdue",IF(TODAY()=E91,"Due Today","Pending")))),"")</f>
        <v/>
      </c>
      <c r="L91" s="9">
        <f>IFERROR(IF(AND(F91&lt;&gt;"",H91&gt;0,TODAY()&gt;E91),TODAY()-E91,""),"")</f>
        <v/>
      </c>
      <c r="M91" s="6" t="n"/>
    </row>
    <row r="92">
      <c r="A92" s="13" t="n">
        <v>88</v>
      </c>
      <c r="B92" s="14" t="n"/>
      <c r="C92" s="14" t="n"/>
      <c r="D92" s="15" t="n"/>
      <c r="E92" s="15" t="n"/>
      <c r="F92" s="8" t="n"/>
      <c r="G92" s="8" t="n"/>
      <c r="H92" s="8">
        <f>IFERROR(IF(F92="","",F92-G92),0)</f>
        <v/>
      </c>
      <c r="I92" s="15" t="n"/>
      <c r="J92" s="13" t="n"/>
      <c r="K92" s="13">
        <f>IFERROR(IF(F92="","",IF(H92=0,"Paid",IF(TODAY()&gt;E92,"Overdue",IF(TODAY()=E92,"Due Today","Pending")))),"")</f>
        <v/>
      </c>
      <c r="L92" s="16">
        <f>IFERROR(IF(AND(F92&lt;&gt;"",H92&gt;0,TODAY()&gt;E92),TODAY()-E92,""),"")</f>
        <v/>
      </c>
      <c r="M92" s="14" t="n"/>
    </row>
    <row r="93">
      <c r="A93" s="5" t="n">
        <v>89</v>
      </c>
      <c r="B93" s="6" t="n"/>
      <c r="C93" s="6" t="n"/>
      <c r="D93" s="7" t="n"/>
      <c r="E93" s="7" t="n"/>
      <c r="F93" s="8" t="n"/>
      <c r="G93" s="8" t="n"/>
      <c r="H93" s="8">
        <f>IFERROR(IF(F93="","",F93-G93),0)</f>
        <v/>
      </c>
      <c r="I93" s="7" t="n"/>
      <c r="J93" s="5" t="n"/>
      <c r="K93" s="5">
        <f>IFERROR(IF(F93="","",IF(H93=0,"Paid",IF(TODAY()&gt;E93,"Overdue",IF(TODAY()=E93,"Due Today","Pending")))),"")</f>
        <v/>
      </c>
      <c r="L93" s="9">
        <f>IFERROR(IF(AND(F93&lt;&gt;"",H93&gt;0,TODAY()&gt;E93),TODAY()-E93,""),"")</f>
        <v/>
      </c>
      <c r="M93" s="6" t="n"/>
    </row>
    <row r="94">
      <c r="A94" s="13" t="n">
        <v>90</v>
      </c>
      <c r="B94" s="14" t="n"/>
      <c r="C94" s="14" t="n"/>
      <c r="D94" s="15" t="n"/>
      <c r="E94" s="15" t="n"/>
      <c r="F94" s="8" t="n"/>
      <c r="G94" s="8" t="n"/>
      <c r="H94" s="8">
        <f>IFERROR(IF(F94="","",F94-G94),0)</f>
        <v/>
      </c>
      <c r="I94" s="15" t="n"/>
      <c r="J94" s="13" t="n"/>
      <c r="K94" s="13">
        <f>IFERROR(IF(F94="","",IF(H94=0,"Paid",IF(TODAY()&gt;E94,"Overdue",IF(TODAY()=E94,"Due Today","Pending")))),"")</f>
        <v/>
      </c>
      <c r="L94" s="16">
        <f>IFERROR(IF(AND(F94&lt;&gt;"",H94&gt;0,TODAY()&gt;E94),TODAY()-E94,""),"")</f>
        <v/>
      </c>
      <c r="M94" s="14" t="n"/>
    </row>
    <row r="95">
      <c r="A95" s="5" t="n">
        <v>91</v>
      </c>
      <c r="B95" s="6" t="n"/>
      <c r="C95" s="6" t="n"/>
      <c r="D95" s="7" t="n"/>
      <c r="E95" s="7" t="n"/>
      <c r="F95" s="8" t="n"/>
      <c r="G95" s="8" t="n"/>
      <c r="H95" s="8">
        <f>IFERROR(IF(F95="","",F95-G95),0)</f>
        <v/>
      </c>
      <c r="I95" s="7" t="n"/>
      <c r="J95" s="5" t="n"/>
      <c r="K95" s="5">
        <f>IFERROR(IF(F95="","",IF(H95=0,"Paid",IF(TODAY()&gt;E95,"Overdue",IF(TODAY()=E95,"Due Today","Pending")))),"")</f>
        <v/>
      </c>
      <c r="L95" s="9">
        <f>IFERROR(IF(AND(F95&lt;&gt;"",H95&gt;0,TODAY()&gt;E95),TODAY()-E95,""),"")</f>
        <v/>
      </c>
      <c r="M95" s="6" t="n"/>
    </row>
    <row r="96">
      <c r="A96" s="13" t="n">
        <v>92</v>
      </c>
      <c r="B96" s="14" t="n"/>
      <c r="C96" s="14" t="n"/>
      <c r="D96" s="15" t="n"/>
      <c r="E96" s="15" t="n"/>
      <c r="F96" s="8" t="n"/>
      <c r="G96" s="8" t="n"/>
      <c r="H96" s="8">
        <f>IFERROR(IF(F96="","",F96-G96),0)</f>
        <v/>
      </c>
      <c r="I96" s="15" t="n"/>
      <c r="J96" s="13" t="n"/>
      <c r="K96" s="13">
        <f>IFERROR(IF(F96="","",IF(H96=0,"Paid",IF(TODAY()&gt;E96,"Overdue",IF(TODAY()=E96,"Due Today","Pending")))),"")</f>
        <v/>
      </c>
      <c r="L96" s="16">
        <f>IFERROR(IF(AND(F96&lt;&gt;"",H96&gt;0,TODAY()&gt;E96),TODAY()-E96,""),"")</f>
        <v/>
      </c>
      <c r="M96" s="14" t="n"/>
    </row>
    <row r="97">
      <c r="A97" s="5" t="n">
        <v>93</v>
      </c>
      <c r="B97" s="6" t="n"/>
      <c r="C97" s="6" t="n"/>
      <c r="D97" s="7" t="n"/>
      <c r="E97" s="7" t="n"/>
      <c r="F97" s="8" t="n"/>
      <c r="G97" s="8" t="n"/>
      <c r="H97" s="8">
        <f>IFERROR(IF(F97="","",F97-G97),0)</f>
        <v/>
      </c>
      <c r="I97" s="7" t="n"/>
      <c r="J97" s="5" t="n"/>
      <c r="K97" s="5">
        <f>IFERROR(IF(F97="","",IF(H97=0,"Paid",IF(TODAY()&gt;E97,"Overdue",IF(TODAY()=E97,"Due Today","Pending")))),"")</f>
        <v/>
      </c>
      <c r="L97" s="9">
        <f>IFERROR(IF(AND(F97&lt;&gt;"",H97&gt;0,TODAY()&gt;E97),TODAY()-E97,""),"")</f>
        <v/>
      </c>
      <c r="M97" s="6" t="n"/>
    </row>
    <row r="98">
      <c r="A98" s="13" t="n">
        <v>94</v>
      </c>
      <c r="B98" s="14" t="n"/>
      <c r="C98" s="14" t="n"/>
      <c r="D98" s="15" t="n"/>
      <c r="E98" s="15" t="n"/>
      <c r="F98" s="8" t="n"/>
      <c r="G98" s="8" t="n"/>
      <c r="H98" s="8">
        <f>IFERROR(IF(F98="","",F98-G98),0)</f>
        <v/>
      </c>
      <c r="I98" s="15" t="n"/>
      <c r="J98" s="13" t="n"/>
      <c r="K98" s="13">
        <f>IFERROR(IF(F98="","",IF(H98=0,"Paid",IF(TODAY()&gt;E98,"Overdue",IF(TODAY()=E98,"Due Today","Pending")))),"")</f>
        <v/>
      </c>
      <c r="L98" s="16">
        <f>IFERROR(IF(AND(F98&lt;&gt;"",H98&gt;0,TODAY()&gt;E98),TODAY()-E98,""),"")</f>
        <v/>
      </c>
      <c r="M98" s="14" t="n"/>
    </row>
    <row r="99">
      <c r="A99" s="5" t="n">
        <v>95</v>
      </c>
      <c r="B99" s="6" t="n"/>
      <c r="C99" s="6" t="n"/>
      <c r="D99" s="7" t="n"/>
      <c r="E99" s="7" t="n"/>
      <c r="F99" s="8" t="n"/>
      <c r="G99" s="8" t="n"/>
      <c r="H99" s="8">
        <f>IFERROR(IF(F99="","",F99-G99),0)</f>
        <v/>
      </c>
      <c r="I99" s="7" t="n"/>
      <c r="J99" s="5" t="n"/>
      <c r="K99" s="5">
        <f>IFERROR(IF(F99="","",IF(H99=0,"Paid",IF(TODAY()&gt;E99,"Overdue",IF(TODAY()=E99,"Due Today","Pending")))),"")</f>
        <v/>
      </c>
      <c r="L99" s="9">
        <f>IFERROR(IF(AND(F99&lt;&gt;"",H99&gt;0,TODAY()&gt;E99),TODAY()-E99,""),"")</f>
        <v/>
      </c>
      <c r="M99" s="6" t="n"/>
    </row>
    <row r="100">
      <c r="A100" s="13" t="n">
        <v>96</v>
      </c>
      <c r="B100" s="14" t="n"/>
      <c r="C100" s="14" t="n"/>
      <c r="D100" s="15" t="n"/>
      <c r="E100" s="15" t="n"/>
      <c r="F100" s="8" t="n"/>
      <c r="G100" s="8" t="n"/>
      <c r="H100" s="8">
        <f>IFERROR(IF(F100="","",F100-G100),0)</f>
        <v/>
      </c>
      <c r="I100" s="15" t="n"/>
      <c r="J100" s="13" t="n"/>
      <c r="K100" s="13">
        <f>IFERROR(IF(F100="","",IF(H100=0,"Paid",IF(TODAY()&gt;E100,"Overdue",IF(TODAY()=E100,"Due Today","Pending")))),"")</f>
        <v/>
      </c>
      <c r="L100" s="16">
        <f>IFERROR(IF(AND(F100&lt;&gt;"",H100&gt;0,TODAY()&gt;E100),TODAY()-E100,""),"")</f>
        <v/>
      </c>
      <c r="M100" s="14" t="n"/>
    </row>
    <row r="101">
      <c r="A101" s="5" t="n">
        <v>97</v>
      </c>
      <c r="B101" s="6" t="n"/>
      <c r="C101" s="6" t="n"/>
      <c r="D101" s="7" t="n"/>
      <c r="E101" s="7" t="n"/>
      <c r="F101" s="8" t="n"/>
      <c r="G101" s="8" t="n"/>
      <c r="H101" s="8">
        <f>IFERROR(IF(F101="","",F101-G101),0)</f>
        <v/>
      </c>
      <c r="I101" s="7" t="n"/>
      <c r="J101" s="5" t="n"/>
      <c r="K101" s="5">
        <f>IFERROR(IF(F101="","",IF(H101=0,"Paid",IF(TODAY()&gt;E101,"Overdue",IF(TODAY()=E101,"Due Today","Pending")))),"")</f>
        <v/>
      </c>
      <c r="L101" s="9">
        <f>IFERROR(IF(AND(F101&lt;&gt;"",H101&gt;0,TODAY()&gt;E101),TODAY()-E101,""),"")</f>
        <v/>
      </c>
      <c r="M101" s="6" t="n"/>
    </row>
    <row r="102">
      <c r="A102" s="13" t="n">
        <v>98</v>
      </c>
      <c r="B102" s="14" t="n"/>
      <c r="C102" s="14" t="n"/>
      <c r="D102" s="15" t="n"/>
      <c r="E102" s="15" t="n"/>
      <c r="F102" s="8" t="n"/>
      <c r="G102" s="8" t="n"/>
      <c r="H102" s="8">
        <f>IFERROR(IF(F102="","",F102-G102),0)</f>
        <v/>
      </c>
      <c r="I102" s="15" t="n"/>
      <c r="J102" s="13" t="n"/>
      <c r="K102" s="13">
        <f>IFERROR(IF(F102="","",IF(H102=0,"Paid",IF(TODAY()&gt;E102,"Overdue",IF(TODAY()=E102,"Due Today","Pending")))),"")</f>
        <v/>
      </c>
      <c r="L102" s="16">
        <f>IFERROR(IF(AND(F102&lt;&gt;"",H102&gt;0,TODAY()&gt;E102),TODAY()-E102,""),"")</f>
        <v/>
      </c>
      <c r="M102" s="14" t="n"/>
    </row>
    <row r="103">
      <c r="A103" s="5" t="n">
        <v>99</v>
      </c>
      <c r="B103" s="6" t="n"/>
      <c r="C103" s="6" t="n"/>
      <c r="D103" s="7" t="n"/>
      <c r="E103" s="7" t="n"/>
      <c r="F103" s="8" t="n"/>
      <c r="G103" s="8" t="n"/>
      <c r="H103" s="8">
        <f>IFERROR(IF(F103="","",F103-G103),0)</f>
        <v/>
      </c>
      <c r="I103" s="7" t="n"/>
      <c r="J103" s="5" t="n"/>
      <c r="K103" s="5">
        <f>IFERROR(IF(F103="","",IF(H103=0,"Paid",IF(TODAY()&gt;E103,"Overdue",IF(TODAY()=E103,"Due Today","Pending")))),"")</f>
        <v/>
      </c>
      <c r="L103" s="9">
        <f>IFERROR(IF(AND(F103&lt;&gt;"",H103&gt;0,TODAY()&gt;E103),TODAY()-E103,""),"")</f>
        <v/>
      </c>
      <c r="M103" s="6" t="n"/>
    </row>
    <row r="104">
      <c r="A104" s="13" t="n">
        <v>100</v>
      </c>
      <c r="B104" s="14" t="n"/>
      <c r="C104" s="14" t="n"/>
      <c r="D104" s="15" t="n"/>
      <c r="E104" s="15" t="n"/>
      <c r="F104" s="8" t="n"/>
      <c r="G104" s="8" t="n"/>
      <c r="H104" s="8">
        <f>IFERROR(IF(F104="","",F104-G104),0)</f>
        <v/>
      </c>
      <c r="I104" s="15" t="n"/>
      <c r="J104" s="13" t="n"/>
      <c r="K104" s="13">
        <f>IFERROR(IF(F104="","",IF(H104=0,"Paid",IF(TODAY()&gt;E104,"Overdue",IF(TODAY()=E104,"Due Today","Pending")))),"")</f>
        <v/>
      </c>
      <c r="L104" s="16">
        <f>IFERROR(IF(AND(F104&lt;&gt;"",H104&gt;0,TODAY()&gt;E104),TODAY()-E104,""),"")</f>
        <v/>
      </c>
      <c r="M104" s="14" t="n"/>
    </row>
    <row r="105">
      <c r="A105" s="18" t="inlineStr">
        <is>
          <t>TOTALS</t>
        </is>
      </c>
      <c r="F105" s="19">
        <f>SUM(F5:F104)</f>
        <v/>
      </c>
      <c r="G105" s="19">
        <f>SUM(G5:G104)</f>
        <v/>
      </c>
      <c r="H105" s="19">
        <f>SUM(H5:H104)</f>
        <v/>
      </c>
    </row>
    <row r="107">
      <c r="A107" s="20" t="inlineStr">
        <is>
          <t>Navneet Priye Chauhan — Finance &amp; Operations Consultant | Free Template: Invoice &amp; AP Tracker</t>
        </is>
      </c>
    </row>
  </sheetData>
  <mergeCells count="11">
    <mergeCell ref="A105:E105"/>
    <mergeCell ref="O7:P7"/>
    <mergeCell ref="A1:M1"/>
    <mergeCell ref="O5:P5"/>
    <mergeCell ref="O4:Q4"/>
    <mergeCell ref="O10:P10"/>
    <mergeCell ref="O6:P6"/>
    <mergeCell ref="O9:P9"/>
    <mergeCell ref="A107:Q107"/>
    <mergeCell ref="A2:M2"/>
    <mergeCell ref="O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2026-03-11T10:46:37Z</dcterms:created>
  <dcterms:modified xmlns:dcterms="http://purl.org/dc/terms/" xmlns:xsi="http://www.w3.org/2001/XMLSchema-instance" xsi:type="dcterms:W3CDTF">2026-03-11T10:46:37Z</dcterms:modified>
</cp:coreProperties>
</file>